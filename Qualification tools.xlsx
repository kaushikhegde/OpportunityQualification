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scyneadvisory.sharepoint.com/sites/AU-Scyne-INT-NationalAccountManagement/Shared Documents/General/Sales Capability Uplift/"/>
    </mc:Choice>
  </mc:AlternateContent>
  <xr:revisionPtr revIDLastSave="0" documentId="8_{444F74A1-2641-470E-8ED3-B7A5094062C8}" xr6:coauthVersionLast="47" xr6:coauthVersionMax="47" xr10:uidLastSave="{00000000-0000-0000-0000-000000000000}"/>
  <bookViews>
    <workbookView xWindow="28680" yWindow="-6570" windowWidth="29040" windowHeight="15720" firstSheet="3" activeTab="2" xr2:uid="{2BCB6F22-CA2E-42A5-8DCD-0F9E2C39D98F}"/>
  </bookViews>
  <sheets>
    <sheet name="1. EARLY QUAL TOOL (original)" sheetId="8" state="hidden" r:id="rId1"/>
    <sheet name="Instructions" sheetId="6" r:id="rId2"/>
    <sheet name="1. EARLY QUALIFICATION TOOL" sheetId="2" r:id="rId3"/>
    <sheet name="2. IMPROVING SUCCESS OUTCOMES" sheetId="3" r:id="rId4"/>
    <sheet name="Fed Govt Qualification" sheetId="5" state="hidden" r:id="rId5"/>
    <sheet name="RAINMAKER Checklist" sheetId="7" state="hidden" r:id="rId6"/>
  </sheets>
  <definedNames>
    <definedName name="Google_Sheet_Link_1411072605_1847600973" localSheetId="0" hidden="1">MonthToDisplay</definedName>
    <definedName name="Google_Sheet_Link_1411072605_1847600973" localSheetId="4" hidden="1">MonthToDisplay</definedName>
    <definedName name="Google_Sheet_Link_1411072605_1847600973" localSheetId="1" hidden="1">MonthToDisplay</definedName>
    <definedName name="Google_Sheet_Link_1411072605_1847600973" hidden="1">MonthToDisplay</definedName>
    <definedName name="Google_Sheet_Link_686877996_1847600973" localSheetId="0" hidden="1">YearToDisplay</definedName>
    <definedName name="Google_Sheet_Link_686877996_1847600973" localSheetId="4" hidden="1">YearToDisplay</definedName>
    <definedName name="Google_Sheet_Link_686877996_1847600973" localSheetId="1" hidden="1">YearToDisplay</definedName>
    <definedName name="Google_Sheet_Link_686877996_1847600973" hidden="1">YearToDisplay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33" i="8" l="1"/>
  <c r="D39" i="7"/>
  <c r="D38" i="7"/>
  <c r="D37" i="7"/>
  <c r="D40" i="7" s="1"/>
  <c r="D43" i="7" s="1"/>
  <c r="I33" i="2" l="1"/>
</calcChain>
</file>

<file path=xl/sharedStrings.xml><?xml version="1.0" encoding="utf-8"?>
<sst xmlns="http://schemas.openxmlformats.org/spreadsheetml/2006/main" count="392" uniqueCount="249">
  <si>
    <r>
      <t xml:space="preserve">Early stage </t>
    </r>
    <r>
      <rPr>
        <b/>
        <sz val="14"/>
        <color theme="0"/>
        <rFont val="Avenir Next LT Pro"/>
        <family val="2"/>
      </rPr>
      <t>'stop/go'</t>
    </r>
    <r>
      <rPr>
        <sz val="14"/>
        <color theme="0"/>
        <rFont val="Avenir Next LT Pro"/>
        <family val="2"/>
      </rPr>
      <t xml:space="preserve"> checklist</t>
    </r>
  </si>
  <si>
    <t xml:space="preserve">Please note: This checklist will be updated to automatically assign a score to your opportunity which determines your next course of action (eg. STOP, PAUSE, PROCEED with support, GO). In the meantime, you can manually score your opportunity based on the guidance in column P to drive the go/no go decision </t>
  </si>
  <si>
    <t>Validation</t>
  </si>
  <si>
    <t>Bid Details</t>
  </si>
  <si>
    <t>Checklist Details</t>
  </si>
  <si>
    <t>Yes</t>
  </si>
  <si>
    <t>Client Name:</t>
  </si>
  <si>
    <t>Date Completed:</t>
  </si>
  <si>
    <t>No</t>
  </si>
  <si>
    <t>Opportunity:</t>
  </si>
  <si>
    <t>Meeting Attendees:</t>
  </si>
  <si>
    <t>Estimated Value:</t>
  </si>
  <si>
    <t>Outcome:</t>
  </si>
  <si>
    <t xml:space="preserve"> (in future this will be automatically populated based on your score. For the interim, please use the 'how to manually score column to determine your score and the 'recommended action' section to understand your outcome )</t>
  </si>
  <si>
    <t>Due Date:</t>
  </si>
  <si>
    <t>Business Unit(s):</t>
  </si>
  <si>
    <t>Rationale:</t>
  </si>
  <si>
    <t>(add details here regarding your opportunity and why you are considering investing time and resources to pursue</t>
  </si>
  <si>
    <t>Qualification criteria</t>
  </si>
  <si>
    <t>Answer</t>
  </si>
  <si>
    <t>Score</t>
  </si>
  <si>
    <t>Total available score</t>
  </si>
  <si>
    <t>Supporting commentary</t>
  </si>
  <si>
    <t xml:space="preserve">How to manually score </t>
  </si>
  <si>
    <t>Strategic alignment</t>
  </si>
  <si>
    <t>Does this opportunity support our vision and purpose for Scyne and our strategic priorities</t>
  </si>
  <si>
    <t>(a) yes to vision and purpose - (2 points)
(b) yes to strategic priorities - (2 points)
(c) yes to both - (6 points)</t>
  </si>
  <si>
    <t>Relationships</t>
  </si>
  <si>
    <t>Has there been any interaction with the client in the past 30 days?</t>
  </si>
  <si>
    <t>Yes - (2 points)
No - (0 points)</t>
  </si>
  <si>
    <t>Do we have a track record of delivering successfully with this client?</t>
  </si>
  <si>
    <t>(a) Yes with this client, yes in this space - (4 points) 
(b) Yes with this client, not in this space - (2 points)
(c) Not with this client, yes in this space - (2 points) 
(d) Not with this client, not in this space - (0 points)</t>
  </si>
  <si>
    <t>IF (d) is selected here, automatically give the outcome of STOP</t>
  </si>
  <si>
    <t>Did we (i) have foresight about the opportunity and (ii) did we or can we proactively shape this opportunity with the client?</t>
  </si>
  <si>
    <t>(a) yes to both - (4 points)
(b) yes to (i) - (2 points)
(c) yes to (ii) - (2 points)</t>
  </si>
  <si>
    <t>Do we have the right relationships with key decision makers including the CEO / Board / Management / Evaluation Committee?</t>
  </si>
  <si>
    <t>Opportunity understanding</t>
  </si>
  <si>
    <t>Do we have a clear understanding of the client's need, requirements and assessment criteria?</t>
  </si>
  <si>
    <t>Does this opportunity leverage multiple capabilities to create client value and allow us to work through multiple phases of the life cycle to deliver valued outcomes?</t>
  </si>
  <si>
    <t>Does this opportunity leverage our accelerator/assets and our Alliance partnerships to strengthen our value proposition?</t>
  </si>
  <si>
    <t>Cost &amp; commercials</t>
  </si>
  <si>
    <t>(i) Does the client have approval, available resources and budget, and genuine intent?
(ii) and can we provide a solution within the specified or anticipated budget?</t>
  </si>
  <si>
    <t>Does this opportunity meet both our risk and financial expectations?</t>
  </si>
  <si>
    <t>Team &amp; resourcing</t>
  </si>
  <si>
    <t>Does our bid team have the capacity to pursue this opportunity?</t>
  </si>
  <si>
    <t>Yes / No</t>
  </si>
  <si>
    <t>Do we have the right team with the right expertise to deliver the work?</t>
  </si>
  <si>
    <t>Competitive advantage</t>
  </si>
  <si>
    <t>Are we positioned strongly against competitors?</t>
  </si>
  <si>
    <t>At this stage, can we identify and clearly articulate our key differentiators?</t>
  </si>
  <si>
    <t>Overall Score</t>
  </si>
  <si>
    <t>What support / investment / assets / connections do you need to strengthen our offering and increase the chances of winning?</t>
  </si>
  <si>
    <t>Approvals guidance</t>
  </si>
  <si>
    <t>For guidance on approvals or to schedule an NTP or CARP session, please email Mark Zezulka (mark.zezulka@scyne.com.au) with the following information: 
- Client Name 
- Opportunity name 
- Salesforce Link 
- Opportunity Team to present to panel 
- Total contract value 
- Submission due date.</t>
  </si>
  <si>
    <t>External partnering guidance and support</t>
  </si>
  <si>
    <t>If there are subcontractors / partnering arrangements, these will require a Delivery Partner Relationship Process (DPR) approval prior to proceeding</t>
  </si>
  <si>
    <t>Recommended actions</t>
  </si>
  <si>
    <t>Outcome</t>
  </si>
  <si>
    <t>Next steps</t>
  </si>
  <si>
    <t xml:space="preserve">If you scored between 
1 and 8: </t>
  </si>
  <si>
    <t xml:space="preserve">STOP
</t>
  </si>
  <si>
    <t>Do not proceed. This opportunity is not the best use of your time. 
Ensure you communicate with your client if they were expecting you to respond. Then focus on how to build the right capability, relationship and credentials with your client in this space for future opportunities</t>
  </si>
  <si>
    <t xml:space="preserve">Update the Salesforce entry with your No go decision (including a short decription of why). Plan for your next communication with the client. </t>
  </si>
  <si>
    <t xml:space="preserve">If you scored between 
9 and 16: </t>
  </si>
  <si>
    <t>PAUSE AND RECONSIDER</t>
  </si>
  <si>
    <t xml:space="preserve">You should pause reconsider whether this opportunity is the best use of your time. 
Connect with your Site Practice Lead or Capability Lead to understand if this is an area where we should be investing time to strengthen our position with the client. </t>
  </si>
  <si>
    <t xml:space="preserve">Revisit your pursuit plan and consider how you will influence, credentialise or change perceptions with your client. </t>
  </si>
  <si>
    <t xml:space="preserve">If you scored between 
17 and 24: </t>
  </si>
  <si>
    <t>PROCEED WITH SUPPORT</t>
  </si>
  <si>
    <t>Connect with your Site Practice Lead or Capability Lead, engage with DRB and CARP panels for further support to pursue this opportunity.</t>
  </si>
  <si>
    <t>Consider what support or investment do you need to strengthen our offering and increase the chances of winning. 
Would our proposition be stronger if we were to partner with our Alliances?</t>
  </si>
  <si>
    <t xml:space="preserve">If you scored between 
25 and 32: </t>
  </si>
  <si>
    <t>GO</t>
  </si>
  <si>
    <t xml:space="preserve">You should go ahead and invest time and resources to pursue this opportunity. </t>
  </si>
  <si>
    <r>
      <t>Update the Salesforce entry with your Go decision. 
Download a</t>
    </r>
    <r>
      <rPr>
        <i/>
        <sz val="10"/>
        <color rgb="FF000000"/>
        <rFont val="Avenir Next LT Pro"/>
        <family val="2"/>
      </rPr>
      <t xml:space="preserve"> Long Term Pursuit Tracker Tool</t>
    </r>
    <r>
      <rPr>
        <sz val="10"/>
        <color rgb="FF000000"/>
        <rFont val="Avenir Next LT Pro"/>
        <family val="2"/>
      </rPr>
      <t xml:space="preserve"> or </t>
    </r>
    <r>
      <rPr>
        <i/>
        <sz val="10"/>
        <color rgb="FF000000"/>
        <rFont val="Avenir Next LT Pro"/>
        <family val="2"/>
      </rPr>
      <t>Proposal Tracker Tool</t>
    </r>
    <r>
      <rPr>
        <sz val="10"/>
        <color rgb="FF000000"/>
        <rFont val="Avenir Next LT Pro"/>
        <family val="2"/>
      </rPr>
      <t xml:space="preserve"> to project manage your pursuit</t>
    </r>
  </si>
  <si>
    <t xml:space="preserve"> </t>
  </si>
  <si>
    <t>Qualification Tool</t>
  </si>
  <si>
    <t xml:space="preserve">        Last updated July 2026  |  Scyne Advisory Pursuits</t>
  </si>
  <si>
    <t xml:space="preserve">The purpose of this document is to provide a quick easy framework to qualify your opportunity initially at Target or Interact phase, and then subsequently once you have made a 'go' decision and are moving to Propose phase. </t>
  </si>
  <si>
    <t xml:space="preserve">Save a copy of this tool to your bid drive and change the sharing settings to allow edit access for your bid team. </t>
  </si>
  <si>
    <t>Contents</t>
  </si>
  <si>
    <t xml:space="preserve">What is it used for? </t>
  </si>
  <si>
    <t>Early qualification tool</t>
  </si>
  <si>
    <t xml:space="preserve">A tool to support early go/no go decision making at Target or Interact phase of a potential opportunity. This checklist is to be completed for every opportunity Scyne wide as part of the new conistent qualification approach. 
For Deals above $1m, a Deal Review Board approval is needed to proceed, the preparation for which involvs completion of #2 - Improving Successful Outcomes. </t>
  </si>
  <si>
    <t>Improving Successful Outcomes</t>
  </si>
  <si>
    <t xml:space="preserve">A tool to support you as you move into Propose phase to improve successful outcomes. 
This information needs to be completed in advance of the DRB session, including the short summary of the opportunity and the scoring against the 10 Scyne Milestones. </t>
  </si>
  <si>
    <t>What you will find in the tabs in this tool</t>
  </si>
  <si>
    <t>Description and the benefit of using it</t>
  </si>
  <si>
    <t>0. Qualification</t>
  </si>
  <si>
    <t xml:space="preserve">1. Mandatory Governance </t>
  </si>
  <si>
    <t>The items detailed on this page are mandatory for EVERY proposal (unless labelled as optional).</t>
  </si>
  <si>
    <t>2. Best practice Pursuit process</t>
  </si>
  <si>
    <t xml:space="preserve">The items detailed on this page follow our recommended best practice pursuit methodology. There are links to relevant guidance / templates / tools / resources that will assist you as you mobilise your team, plan and develop your response, set your review gates, finalise and submit your response and pitch to the client. </t>
  </si>
  <si>
    <t>a. Key milestones</t>
  </si>
  <si>
    <t xml:space="preserve">This is your timeline for the Pursuit and should be used to drive your cadence. Dont forget to check in regularly with your team to test and validate the milestones throughout the process. </t>
  </si>
  <si>
    <t>b. Actions</t>
  </si>
  <si>
    <t xml:space="preserve">This is a place to capture all the actions that are allocated, the person responsible and due date, so we can easily track their status throughout the process. Check in on these actions during your cadence to keep everyone accountable. </t>
  </si>
  <si>
    <t>c. Value proposition</t>
  </si>
  <si>
    <t xml:space="preserve">This is a place to capture the key messaging and differentiated value proposition that we will present in our response. Includes some frameworks to consider as you build your value prop (eg. competitor analysis, buyer analysis &amp; hot buttons, issue / action / impact, value statements). Build and agree the value statements as a team early in the process so the content writers are introducing that key messaging throughout the entire response.   </t>
  </si>
  <si>
    <t>d. Clarification questions</t>
  </si>
  <si>
    <t>This is a place to capture any potential clarification questions to submit to the client. As the bid team and SMEs are reading through the tender documents, ask them to add details of any questions they think of, or any areas where we may need further detail from the client to respond to their requirements. Then as a team agree on which questions we will send off (with consideration given to the clarification process outlined in the tender docs).</t>
  </si>
  <si>
    <t>e. Section allocations and status</t>
  </si>
  <si>
    <t>This is a place to capture the alllocation of writing and reviewing responsibilities for each question or section of the response template. Use the Status and % complete columns to show which areas are needing attention so they can be given the necessary priority. Encourage your team to keep this updated and check in on the status during your cadence calls.</t>
  </si>
  <si>
    <t>f. CV and citation tracker</t>
  </si>
  <si>
    <t xml:space="preserve">This is a place to capture the names of the resources we are considering putting forward as part of our response, and the citations that we will leverage to showcase the capabilities of the proposed team. Use this as your 'master list' which will inform many other areas of your response including your team, org / team charts, CVs, summary CVs, personnel matrix, resourcing, experience, experience matrix, price. </t>
  </si>
  <si>
    <t>g. Assumptions</t>
  </si>
  <si>
    <t xml:space="preserve">This is a place to capture any assumptions and exclusions for consideration as you develop your response. </t>
  </si>
  <si>
    <t>Please note: This checklist will be updated to automatically assign a score to your opportunity which determines your next course of action 
(eg. STOP - DO NOT PROCEED, PAUSE &amp; RECONSIDER, GO - PROCEED WITH SUPPORT).</t>
  </si>
  <si>
    <t>Opportunity Name:</t>
  </si>
  <si>
    <t>&lt;See rows 38-40 for outcomes and next steps&gt;</t>
  </si>
  <si>
    <t xml:space="preserve">Next steps: </t>
  </si>
  <si>
    <t>IF (d) is selected here, automatically give the outcome of STOP - DO NOT PROCEED</t>
  </si>
  <si>
    <t>(a) yes to both - (4 points)
(b) yes to (i) only - (1 point)
(c) yes to (ii) only  - (1 point)</t>
  </si>
  <si>
    <t>IF © is selected here, automatically give the outcome of STOP - DO NOT PROCEED</t>
  </si>
  <si>
    <t>IF No is selected here, automatically give the outcome of STOP - DO NOT PROCEED</t>
  </si>
  <si>
    <t xml:space="preserve">If you scored between 
1 and 10: </t>
  </si>
  <si>
    <t xml:space="preserve">STOP - DO NOT PROCEED
</t>
  </si>
  <si>
    <t xml:space="preserve">Do not proceed. This opportunity is not the best use of your time. </t>
  </si>
  <si>
    <t xml:space="preserve">Ensure you communicate with your client if they were expecting you to respond. Then focus on how to build the right capability, relationship and credentials with your client in this space for future opportunities. 
Plan for your next communication with the client. 
Update the Salesforce entry with your No go outcome (including a short decription of why and who made the decision). 
</t>
  </si>
  <si>
    <t xml:space="preserve">If you scored between 
11 and 20: </t>
  </si>
  <si>
    <t>You should pause reconsider whether this opportunity is the best use of your time. 
Connect with your Site Practice Lead or Capability Lead to understand if this is an area where we should be investing time to strengthen our position with the client. 
Engage with DRB and CARP panels for further support to pursue this opportunity.</t>
  </si>
  <si>
    <t>Revisit your pursuit plan and consider how you will influence, credentialise or change perceptions with your client. 
Consider what support or investment do you need to strengthen our offering and increase the chances of winning. Would our proposition be stronger if we were to partner with our Alliances?
Update the Salesforce entry with your qualification outcome. 
Download a Long Term Pursuit Tracker Tool or Proposal Tracker Tool to project manage your pursuit</t>
  </si>
  <si>
    <t xml:space="preserve">If you scored between 
21 and 32: </t>
  </si>
  <si>
    <t>GO - PROCEED WITH SUPPORT</t>
  </si>
  <si>
    <t>You should go ahead and invest time and resources to pursue this opportunity. 
Connect with your Site Practice Lead or Capability Lead, engage with DRB and CARP panels for further support to pursue this opportunity.</t>
  </si>
  <si>
    <t>Consider what support or investment do you need to strengthen our offering and increase the chances of winning. 
Would our proposition be stronger if we were to partner with our Alliances?
Update the Salesforce entry with your Go outcome. 
Download a Long Term Pursuit Tracker Tool or Proposal Tracker Tool to project manage your pursuit</t>
  </si>
  <si>
    <r>
      <t xml:space="preserve">Improving </t>
    </r>
    <r>
      <rPr>
        <b/>
        <sz val="14"/>
        <color theme="0"/>
        <rFont val="Avenir Next LT Pro"/>
        <family val="2"/>
      </rPr>
      <t xml:space="preserve">success outcomes </t>
    </r>
    <r>
      <rPr>
        <sz val="14"/>
        <color theme="0"/>
        <rFont val="Avenir Next LT Pro"/>
        <family val="2"/>
      </rPr>
      <t xml:space="preserve">checklist </t>
    </r>
  </si>
  <si>
    <t>Milestone category</t>
  </si>
  <si>
    <t>Forecast weighting</t>
  </si>
  <si>
    <t>About this milestone</t>
  </si>
  <si>
    <t>Green criteria</t>
  </si>
  <si>
    <t>Questions to consider</t>
  </si>
  <si>
    <t>Scoring your opportunity</t>
  </si>
  <si>
    <t>Supporting comments</t>
  </si>
  <si>
    <t>Scyne Capability</t>
  </si>
  <si>
    <t>This milestone assesses whether Scyne Advisory has the internal capability, resourcing, and delivery infrastructure required to successfully deliver the proposed engagement. This includes availability of key consultants, relevant domain expertise, and execution bandwidth.</t>
  </si>
  <si>
    <t>Scyne has verified internally that it can successfully deliver the proposed engagement with the right mix of skills, availability, and experience. Any delivery risks have been surfaced and addressed.</t>
  </si>
  <si>
    <t>1. Do we have the specific delivery capability and bandwidth for this engagement?
2. Are there any internal constraints that could impact execution?
3. Have we considered the availability of key individuals or resources?</t>
  </si>
  <si>
    <t>Scyne Economics</t>
  </si>
  <si>
    <t>This milestone evaluates whether the proposed engagement aligns with Scyne’s own commercial objectives, pricing strategy, and delivery margin expectations.</t>
  </si>
  <si>
    <t>The opportunity is commercially viable for Scyne, with a pricing structure and scope that aligns with internal profitability thresholds. Any compromises are known and accepted.</t>
  </si>
  <si>
    <t>1. Does this opportunity meet our margin expectations?
2. Have we considered any commercial risks to Scyne?
3. Are there any red flags around scale, timing, or resourcing that could erode profitability?</t>
  </si>
  <si>
    <t>Identify Pain</t>
  </si>
  <si>
    <t>This milestone reflects whether we’ve uncovered and the customer has acknowledged a clearly defined pain or business problem that is sufficiently impactful to warrant priority. It goes beyond recognition — it signals readiness to act.</t>
  </si>
  <si>
    <t>The customer has explicitly acknowledged a business-critical problem or challenge, understands its cost or consequences, and is sufficiently motivated to act. The implications of inaction are understood by the customer and tied to broader strategic outcomes.</t>
  </si>
  <si>
    <t>1. What is the cost of this pain to the organisation?
2. Have they acknowledged the urgency and scale of the issue?
3. Are the implications significant enough to drive investment?</t>
  </si>
  <si>
    <t>Unique Value Proposition</t>
  </si>
  <si>
    <t>This milestone assesses whether the customer sees clear, differentiated value in our offering — value that other alternatives do not provide. It must be tangible and aligned with their most important outcomes.</t>
  </si>
  <si>
    <t>1. Does the customer understand and endorse the distinct value we provide?
2. Is the value linked to measurable outcomes or KPIs?
3. Is our proposition clearly different from internal or external alternatives?</t>
  </si>
  <si>
    <t>Decision Criteria</t>
  </si>
  <si>
    <t>This milestone evaluates whether we understand the criteria the customer will use to compare options and select a partner — and whether there is anything in those criteria that could exclude or disadvantage us.</t>
  </si>
  <si>
    <t>The formal decision criteria have been defined, documented, and validated with stakeholders. We know what the customer is prioritising, how they will evaluate success, and there are no known disqualifiers.</t>
  </si>
  <si>
    <t>1. What criteria will be used to select a provider?
2. Have any criteria been defined that may work against us?
3. Have we validated the criteria with more than one stakeholder?</t>
  </si>
  <si>
    <t>Decision Process</t>
  </si>
  <si>
    <t>This milestone assesses our understanding of the complete decision-making process, including formal and informal steps, timing, and any blockers that may prevent a successful outcome.</t>
  </si>
  <si>
    <t>We have mapped the decision process from end to end, confirmed it with stakeholders, and identified any potential blockers. We know what needs to happen and when — and what could get in the way.</t>
  </si>
  <si>
    <t>1. Who needs to approve this and in what sequence?
2. What could derail the process?
3. Are there dependencies we haven’t accounted for?</t>
  </si>
  <si>
    <t>Procurement Process</t>
  </si>
  <si>
    <t>This milestone evaluates our understanding of the customer's formal procurement pathway and whether we are set up to navigate it successfully, including documentation, panels, timelines, and probity.</t>
  </si>
  <si>
    <t>We understand the procurement process, are eligible to participate, and have visibility into key dates, stages, and requirements. Any compliance risks have been identified and mitigated</t>
  </si>
  <si>
    <t>1. Are we pre-qualified or on the required panel?
2. Have we confirmed the process steps and stakeholders?
3. Is there any risk of disqualification or delay?</t>
  </si>
  <si>
    <t>Commercial Authority</t>
  </si>
  <si>
    <t>This milestone assesses whether we have identified and engaged those who hold commercial authority to approve spend — whether a single executive, a committee, or a collective governance body.</t>
  </si>
  <si>
    <t>We have confirmed who holds commercial authority and have confidence they are aware of and supportive of our proposal. We understand their commercial priorities and approval thresholds.</t>
  </si>
  <si>
    <t>1. Who has the authority to approve the deal?
2. Have they been engaged and briefed?
3. What are the commercial sensitivities or limitations?</t>
  </si>
  <si>
    <t>Stakeholder Alignment</t>
  </si>
  <si>
    <t>This milestone assesses the depth and quality of our alignment with key stakeholders involved in the opportunity. It reflects how well we understand their roles, priorities, and concerns — and whether we are seen as credible and aligned partners.</t>
  </si>
  <si>
    <t>We have strong working relationships with a critical mass of stakeholders. We understand their perspectives, have established trust, and are actively engaged with those who will shape or influence the decision. This includes identifying and addressing the needs of both supporters and sceptics.</t>
  </si>
  <si>
    <t>1. Have we identified and have strategies for key personas - Decision makers, Influencers, Champions, Coaches, Detractors, Change Agents?
2. Are we aligned with their individual goals or concerns?
3. Are we perceived as credible and trustworthy by those who matter most?</t>
  </si>
  <si>
    <t>Competition</t>
  </si>
  <si>
    <t>This milestone captures our understanding of the competitive landscape and our current position relative to alternatives. It must reflect both awareness and position.</t>
  </si>
  <si>
    <t>We know who the competition is (external and internal), how the customer views us relative to them, and we are favourably positioned. If we are behind the competition, the milestone should not be green.</t>
  </si>
  <si>
    <t>1. Who are we competing against?
2. Where do we stand relative to those competitors?
3. What signals have we seen that suggest we are ahead or behind?</t>
  </si>
  <si>
    <t>Compelling Event</t>
  </si>
  <si>
    <t>This milestone evaluates whether one or more internal or external pressures are creating urgency to act. These might include funding deadlines, policy changes, executive pressure, or operational constraints.</t>
  </si>
  <si>
    <t>There is a clear internal or external force that makes timely action necessary. The customer has acknowledged this urgency, and it is shaping their decision-making timeline.</t>
  </si>
  <si>
    <t>1. What are the consequences of customer inaction?
2. Have you identified a deadline or external driver pushing for a decision?
3. Is this urgency recognised, shared across stakeholders and demonstrated in customer behaviour?</t>
  </si>
  <si>
    <r>
      <t xml:space="preserve">Federal Govt </t>
    </r>
    <r>
      <rPr>
        <b/>
        <sz val="14"/>
        <color theme="0"/>
        <rFont val="Avenir Next LT Pro"/>
        <family val="2"/>
      </rPr>
      <t>New Business Qualification Tool</t>
    </r>
  </si>
  <si>
    <t>Category</t>
  </si>
  <si>
    <t>Brief response</t>
  </si>
  <si>
    <t>What is the opportunity</t>
  </si>
  <si>
    <t>What is the client is asking for?
Who are the proposal management team and are they available?</t>
  </si>
  <si>
    <t xml:space="preserve">Client relationship and competitor landscape </t>
  </si>
  <si>
    <t xml:space="preserve">Do we know the buyer and strength of the relationship?
Have we had any recent feedback?
Do we know the main competitors?
Do we know if there is an incumbent? </t>
  </si>
  <si>
    <t xml:space="preserve">Value proposition and priority alignment </t>
  </si>
  <si>
    <t>What is our value proposition and what is our differentiator?
Does it align to Geo and Account priorities?
Does it algin to a priority GTM agenda?</t>
  </si>
  <si>
    <t>Resourcing</t>
  </si>
  <si>
    <t xml:space="preserve">What are the skill sets required to deliver the job?
Do we have the skill sets to fill the roles? If not, what are the gaps?
Who are the proposed leads and team members?
Are the proposed team available? </t>
  </si>
  <si>
    <t xml:space="preserve">Pricing, risk and conflicts of interest </t>
  </si>
  <si>
    <t>What is proposed approach to pricing (T&amp;M, fixed fees etc)
Are there any associated risks or issues regarding delivery you can foresee?
Are there any potential or perceived conflicts of interest you can foresee?
Are the services seeking technology solutions?</t>
  </si>
  <si>
    <t>Go / no-go recommendation</t>
  </si>
  <si>
    <t>Based on the answers to the above, what is the recommendation from the cluster / qualification team?
If the recommendation is Go, what is needed to win the work (ie pursuit support, investment ask, SME pursuit support and input.)</t>
  </si>
  <si>
    <t>RAINMAKER BID QUALIFICATION CHECKLIST</t>
  </si>
  <si>
    <t>Date:</t>
  </si>
  <si>
    <t>Assessed By:</t>
  </si>
  <si>
    <t>#</t>
  </si>
  <si>
    <t>Dimension</t>
  </si>
  <si>
    <t>Question</t>
  </si>
  <si>
    <t>Y / N</t>
  </si>
  <si>
    <t>Notes</t>
  </si>
  <si>
    <t>R – Relationship</t>
  </si>
  <si>
    <t>Do we have an existing relationship with the client or key stakeholders?</t>
  </si>
  <si>
    <t>Have we worked successfully with this client before?</t>
  </si>
  <si>
    <t>Is our relationship stronger than that of likely competitors?</t>
  </si>
  <si>
    <t>A – Attractiveness</t>
  </si>
  <si>
    <t>Does this opportunity align with our strategic growth areas?</t>
  </si>
  <si>
    <t>Is the contract value commercially attractive to us?</t>
  </si>
  <si>
    <t>Will winning this work enhance our portfolio or reputation?</t>
  </si>
  <si>
    <t>I – Intelligence</t>
  </si>
  <si>
    <t>Do we have sufficient insight into the client's priorities and evaluation criteria?</t>
  </si>
  <si>
    <t>Are we aware of who our key competitors are for this bid?</t>
  </si>
  <si>
    <t>Do we understand the political or organisational context of this procurement?</t>
  </si>
  <si>
    <t>N – Need</t>
  </si>
  <si>
    <t>Is there a clear, genuine need that our solution addresses?</t>
  </si>
  <si>
    <t>Has the client confirmed budget and intent to proceed?</t>
  </si>
  <si>
    <t>Is the timeline realistic for the scope of work required?</t>
  </si>
  <si>
    <t>M – Money</t>
  </si>
  <si>
    <t>Is the budget sufficient to deliver the work profitably?</t>
  </si>
  <si>
    <t>Are payment terms and contract conditions acceptable?</t>
  </si>
  <si>
    <t>Do we have the financial capacity to resource this bid and project?</t>
  </si>
  <si>
    <t>A – Authority</t>
  </si>
  <si>
    <t>Have we identified the ultimate decision-maker(s)?</t>
  </si>
  <si>
    <t>Do we have access to or influence with the decision-maker(s)?</t>
  </si>
  <si>
    <t>Is the procurement process transparent and fair?</t>
  </si>
  <si>
    <t>K – Know-how</t>
  </si>
  <si>
    <t>Do we have the specialist skills and expertise required?</t>
  </si>
  <si>
    <t>Can we demonstrate relevant technical capability and innovation?</t>
  </si>
  <si>
    <t>Do we have the capacity to deliver at the required quality level?</t>
  </si>
  <si>
    <t>E – Experience</t>
  </si>
  <si>
    <t>Do we have directly comparable case studies or references?</t>
  </si>
  <si>
    <t>Have we delivered projects of similar scale or complexity?</t>
  </si>
  <si>
    <t>Is our track record in this sector strong enough to compete?</t>
  </si>
  <si>
    <t>R – Risk</t>
  </si>
  <si>
    <t>Are the legal, commercial and delivery risks acceptable?</t>
  </si>
  <si>
    <t>Are there any reputational, ethical or conflict-of-interest concerns?</t>
  </si>
  <si>
    <t>Can we absorb the cost of bidding if unsuccessful?</t>
  </si>
  <si>
    <t>SCORE SUMMARY</t>
  </si>
  <si>
    <t>Total Questions</t>
  </si>
  <si>
    <t>Total "Yes"</t>
  </si>
  <si>
    <t>Total "No"</t>
  </si>
  <si>
    <t>Total Answered</t>
  </si>
  <si>
    <t>% Yes (of total)</t>
  </si>
  <si>
    <t>RECOMMENDATION</t>
  </si>
  <si>
    <t>Decision:</t>
  </si>
  <si>
    <t>Scoring Guide:</t>
  </si>
  <si>
    <t>80–100% Yes   →  Strong Bid – proceed with confidence</t>
  </si>
  <si>
    <t>60–79% Yes     →  Conditional Bid – address gaps before proceeding</t>
  </si>
  <si>
    <t>40–59% Yes     →  Caution – seek senior approval before committing</t>
  </si>
  <si>
    <t>Below 40% Yes →  No Bid – decline the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</si>
</sst>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Aptos Narrow"/>
      <family val="2"/>
      <scheme val="minor"/>
    </font>
    <font>
      <sz val="10"/>
      <color rgb="FF000000"/>
      <name val="Arial"/>
      <family val="2"/>
    </font>
    <font>
      <sz val="10"/>
      <color rgb="FF000000"/>
      <name val="Avenir Next LT Pro"/>
      <family val="2"/>
    </font>
    <font>
      <sz val="14"/>
      <color theme="0"/>
      <name val="Avenir Next LT Pro"/>
      <family val="2"/>
    </font>
    <font>
      <b/>
      <sz val="14"/>
      <color theme="0"/>
      <name val="Avenir Next LT Pro"/>
      <family val="2"/>
    </font>
    <font>
      <b/>
      <sz val="10"/>
      <color rgb="FF000000"/>
      <name val="Avenir Next LT Pro"/>
      <family val="2"/>
    </font>
    <font>
      <b/>
      <sz val="10"/>
      <color rgb="FFFFFFFF"/>
      <name val="Avenir Next LT Pro"/>
      <family val="2"/>
    </font>
    <font>
      <i/>
      <sz val="9"/>
      <color rgb="FF000000"/>
      <name val="Avenir Next LT Pro"/>
      <family val="2"/>
    </font>
    <font>
      <b/>
      <sz val="12"/>
      <color rgb="FFFFFFFF"/>
      <name val="Avenir Next LT Pro"/>
      <family val="2"/>
    </font>
    <font>
      <b/>
      <sz val="11"/>
      <color rgb="FFFFFFFF"/>
      <name val="Avenir Next LT Pro"/>
      <family val="2"/>
    </font>
    <font>
      <b/>
      <sz val="12"/>
      <color rgb="FF000000"/>
      <name val="Avenir Next LT Pro"/>
      <family val="2"/>
    </font>
    <font>
      <b/>
      <sz val="11"/>
      <color theme="0"/>
      <name val="Avenir Next LT Pro"/>
      <family val="2"/>
    </font>
    <font>
      <u/>
      <sz val="10"/>
      <color theme="10"/>
      <name val="Arial"/>
      <family val="2"/>
    </font>
    <font>
      <u/>
      <sz val="10"/>
      <color theme="10"/>
      <name val="Avenir Next LT Pro"/>
      <family val="2"/>
    </font>
    <font>
      <i/>
      <sz val="10"/>
      <color rgb="FF000000"/>
      <name val="Avenir Next LT Pro"/>
      <family val="2"/>
    </font>
    <font>
      <sz val="11"/>
      <color theme="1"/>
      <name val="Avenir Next LT Pro"/>
      <family val="2"/>
    </font>
    <font>
      <b/>
      <sz val="11"/>
      <color theme="1"/>
      <name val="Avenir Next LT Pro"/>
      <family val="2"/>
    </font>
    <font>
      <b/>
      <sz val="12"/>
      <color theme="0"/>
      <name val="Avenir Next LT Pro"/>
      <family val="2"/>
    </font>
    <font>
      <sz val="10"/>
      <color rgb="FF000000"/>
      <name val="Arial"/>
    </font>
    <font>
      <sz val="10"/>
      <name val="Avenir Next LT Pro"/>
      <family val="2"/>
    </font>
    <font>
      <sz val="11"/>
      <color rgb="FF000000"/>
      <name val="Avenir Next LT Pro"/>
      <family val="2"/>
    </font>
    <font>
      <sz val="36"/>
      <color rgb="FF484B5D"/>
      <name val="Avenir Next LT Pro"/>
      <family val="2"/>
    </font>
    <font>
      <sz val="10"/>
      <color rgb="FF484B5D"/>
      <name val="Avenir Next LT Pro"/>
      <family val="2"/>
    </font>
    <font>
      <sz val="18"/>
      <color rgb="FF484B5D"/>
      <name val="Avenir Next LT Pro"/>
      <family val="2"/>
    </font>
    <font>
      <sz val="12"/>
      <color rgb="FFFFFFFF"/>
      <name val="Avenir Next LT Pro"/>
      <family val="2"/>
    </font>
    <font>
      <b/>
      <sz val="10"/>
      <color rgb="FFD93954"/>
      <name val="Avenir Next LT Pro"/>
      <family val="2"/>
    </font>
    <font>
      <b/>
      <sz val="10"/>
      <color rgb="FF066470"/>
      <name val="Avenir Next LT Pro"/>
      <family val="2"/>
    </font>
    <font>
      <sz val="10"/>
      <color rgb="FF066470"/>
      <name val="Avenir Next LT Pro"/>
      <family val="2"/>
    </font>
    <font>
      <b/>
      <sz val="9"/>
      <color theme="0"/>
      <name val="Avenir Next LT Pro"/>
      <family val="2"/>
    </font>
    <font>
      <sz val="10"/>
      <color rgb="FFFFFFFF"/>
      <name val="Avenir Next LT Pro"/>
      <family val="2"/>
    </font>
    <font>
      <sz val="9"/>
      <color rgb="FF3C4043"/>
      <name val="Avenir Next LT Pro"/>
      <family val="2"/>
    </font>
    <font>
      <b/>
      <u/>
      <sz val="10"/>
      <color rgb="FF1155CC"/>
      <name val="Avenir Next LT Pro"/>
      <family val="2"/>
    </font>
    <font>
      <sz val="11"/>
      <color theme="1"/>
      <name val="Calibri"/>
      <family val="2"/>
      <charset val="1"/>
    </font>
    <font>
      <b/>
      <sz val="16"/>
      <color rgb="FFFFFFFF"/>
      <name val="Arial"/>
      <charset val="1"/>
    </font>
    <font>
      <b/>
      <sz val="10"/>
      <name val="Arial"/>
      <charset val="1"/>
    </font>
    <font>
      <b/>
      <sz val="10"/>
      <color rgb="FFFFFFFF"/>
      <name val="Arial"/>
      <charset val="1"/>
    </font>
    <font>
      <sz val="10"/>
      <name val="Arial"/>
      <charset val="1"/>
    </font>
    <font>
      <b/>
      <sz val="10"/>
      <color rgb="FF1A1D2E"/>
      <name val="Arial"/>
      <charset val="1"/>
    </font>
    <font>
      <i/>
      <sz val="9"/>
      <color rgb="FF666666"/>
      <name val="Arial"/>
      <charset val="1"/>
    </font>
    <font>
      <b/>
      <sz val="13"/>
      <color rgb="FFFFFFFF"/>
      <name val="Arial"/>
      <charset val="1"/>
    </font>
    <font>
      <b/>
      <sz val="11"/>
      <name val="Arial"/>
      <charset val="1"/>
    </font>
    <font>
      <b/>
      <sz val="12"/>
      <name val="Arial"/>
      <charset val="1"/>
    </font>
    <font>
      <b/>
      <sz val="9"/>
      <color rgb="FF666666"/>
      <name val="Arial"/>
      <charset val="1"/>
    </font>
    <font>
      <b/>
      <sz val="12"/>
      <name val="Avenir Next LT Pro"/>
      <family val="2"/>
    </font>
    <font>
      <sz val="12"/>
      <color rgb="FF000000"/>
      <name val="Avenir Next LT Pro"/>
      <family val="2"/>
    </font>
  </fonts>
  <fills count="22">
    <fill>
      <patternFill patternType="none"/>
    </fill>
    <fill>
      <patternFill patternType="gray125"/>
    </fill>
    <fill>
      <patternFill patternType="solid">
        <fgColor theme="0"/>
        <bgColor indexed="64"/>
      </patternFill>
    </fill>
    <fill>
      <patternFill patternType="solid">
        <fgColor rgb="FF484B5D"/>
        <bgColor indexed="64"/>
      </patternFill>
    </fill>
    <fill>
      <patternFill patternType="solid">
        <fgColor rgb="FFFFC5B7"/>
        <bgColor indexed="64"/>
      </patternFill>
    </fill>
    <fill>
      <patternFill patternType="solid">
        <fgColor rgb="FF434343"/>
        <bgColor indexed="64"/>
      </patternFill>
    </fill>
    <fill>
      <patternFill patternType="solid">
        <fgColor rgb="FFFFFFFF"/>
        <bgColor indexed="64"/>
      </patternFill>
    </fill>
    <fill>
      <patternFill patternType="solid">
        <fgColor rgb="FFD9E1E2"/>
        <bgColor indexed="64"/>
      </patternFill>
    </fill>
    <fill>
      <patternFill patternType="solid">
        <fgColor rgb="FF066470"/>
        <bgColor indexed="64"/>
      </patternFill>
    </fill>
    <fill>
      <patternFill patternType="solid">
        <fgColor rgb="FF999999"/>
        <bgColor indexed="64"/>
      </patternFill>
    </fill>
    <fill>
      <patternFill patternType="solid">
        <fgColor theme="6"/>
        <bgColor indexed="64"/>
      </patternFill>
    </fill>
    <fill>
      <patternFill patternType="solid">
        <fgColor theme="0" tint="-4.9989318521683403E-2"/>
        <bgColor indexed="64"/>
      </patternFill>
    </fill>
    <fill>
      <patternFill patternType="solid">
        <fgColor rgb="FFDEDEDE"/>
        <bgColor rgb="FFDEDEDE"/>
      </patternFill>
    </fill>
    <fill>
      <patternFill patternType="solid">
        <fgColor rgb="FF464E7E"/>
        <bgColor rgb="FFFAB417"/>
      </patternFill>
    </fill>
    <fill>
      <patternFill patternType="solid">
        <fgColor rgb="FF464E7E"/>
        <bgColor indexed="64"/>
      </patternFill>
    </fill>
    <fill>
      <patternFill patternType="solid">
        <fgColor rgb="FFFFFFFF"/>
        <bgColor rgb="FFFFFFFF"/>
      </patternFill>
    </fill>
    <fill>
      <patternFill patternType="solid">
        <fgColor rgb="FF484B5D"/>
        <bgColor rgb="FFD93954"/>
      </patternFill>
    </fill>
    <fill>
      <patternFill patternType="solid">
        <fgColor rgb="FF464646"/>
        <bgColor rgb="FF464646"/>
      </patternFill>
    </fill>
    <fill>
      <patternFill patternType="solid">
        <fgColor rgb="FF066470"/>
        <bgColor rgb="FF434343"/>
      </patternFill>
    </fill>
    <fill>
      <patternFill patternType="solid">
        <fgColor rgb="FF484B5D"/>
        <bgColor rgb="FF999999"/>
      </patternFill>
    </fill>
    <fill>
      <patternFill patternType="solid">
        <fgColor rgb="FF1A1D2E"/>
        <bgColor rgb="FF333300"/>
      </patternFill>
    </fill>
    <fill>
      <patternFill patternType="solid">
        <fgColor rgb="FFF2EBDA"/>
        <bgColor rgb="FFFFFFFF"/>
      </patternFill>
    </fill>
  </fills>
  <borders count="5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rgb="FFCCCCCC"/>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medium">
        <color rgb="FFCCCCCC"/>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rgb="FFCCCCCC"/>
      </left>
      <right/>
      <top/>
      <bottom/>
      <diagonal/>
    </border>
    <border>
      <left/>
      <right style="medium">
        <color rgb="FFCCCCCC"/>
      </right>
      <top/>
      <bottom/>
      <diagonal/>
    </border>
    <border>
      <left style="thin">
        <color theme="0" tint="-0.249977111117893"/>
      </left>
      <right/>
      <top style="thin">
        <color theme="0" tint="-0.249977111117893"/>
      </top>
      <bottom style="thin">
        <color theme="0" tint="-0.249977111117893"/>
      </bottom>
      <diagonal/>
    </border>
    <border>
      <left style="thick">
        <color indexed="64"/>
      </left>
      <right/>
      <top style="thin">
        <color theme="0" tint="-0.249977111117893"/>
      </top>
      <bottom style="thin">
        <color theme="0" tint="-0.249977111117893"/>
      </bottom>
      <diagonal/>
    </border>
    <border>
      <left style="thick">
        <color indexed="64"/>
      </left>
      <right/>
      <top style="thin">
        <color theme="1" tint="0.499984740745262"/>
      </top>
      <bottom/>
      <diagonal/>
    </border>
    <border>
      <left style="thick">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0" tint="-0.249977111117893"/>
      </left>
      <right/>
      <top style="thin">
        <color theme="0" tint="-0.249977111117893"/>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style="thin">
        <color theme="1" tint="0.499984740745262"/>
      </top>
      <bottom style="thin">
        <color theme="1" tint="0.499984740745262"/>
      </bottom>
      <diagonal/>
    </border>
    <border>
      <left style="medium">
        <color rgb="FFCCCCCC"/>
      </left>
      <right/>
      <top style="thin">
        <color theme="1" tint="0.499984740745262"/>
      </top>
      <bottom style="thin">
        <color theme="1" tint="0.499984740745262"/>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top style="thin">
        <color rgb="FFD9D9D9"/>
      </top>
      <bottom style="thin">
        <color rgb="FFD9D9D9"/>
      </bottom>
      <diagonal/>
    </border>
    <border>
      <left/>
      <right/>
      <top style="thin">
        <color rgb="FFD9D9D9"/>
      </top>
      <bottom style="thin">
        <color rgb="FFD9D9D9"/>
      </bottom>
      <diagonal/>
    </border>
    <border>
      <left/>
      <right style="thin">
        <color rgb="FFFFFFFF"/>
      </right>
      <top style="thin">
        <color rgb="FFD9D9D9"/>
      </top>
      <bottom style="thin">
        <color rgb="FFD9D9D9"/>
      </bottom>
      <diagonal/>
    </border>
    <border>
      <left style="thin">
        <color rgb="FFFFFFFF"/>
      </left>
      <right/>
      <top/>
      <bottom/>
      <diagonal/>
    </border>
    <border>
      <left/>
      <right style="thin">
        <color rgb="FFFFFFFF"/>
      </right>
      <top/>
      <bottom/>
      <diagonal/>
    </border>
    <border>
      <left/>
      <right style="thin">
        <color rgb="FFD9D9D9"/>
      </right>
      <top style="thin">
        <color rgb="FFD9D9D9"/>
      </top>
      <bottom style="thin">
        <color rgb="FFD9D9D9"/>
      </bottom>
      <diagonal/>
    </border>
    <border>
      <left style="thin">
        <color rgb="FFFFFFFF"/>
      </left>
      <right/>
      <top/>
      <bottom style="thin">
        <color rgb="FFFFFFFF"/>
      </bottom>
      <diagonal/>
    </border>
    <border>
      <left/>
      <right style="thin">
        <color rgb="FFFFFFFF"/>
      </right>
      <top/>
      <bottom style="thin">
        <color rgb="FFFFFFFF"/>
      </bottom>
      <diagonal/>
    </border>
    <border>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theme="1" tint="0.499984740745262"/>
      </top>
      <bottom style="thin">
        <color theme="1" tint="0.499984740745262"/>
      </bottom>
      <diagonal/>
    </border>
    <border>
      <left/>
      <right style="thin">
        <color rgb="FFFFFFFF"/>
      </right>
      <top style="thin">
        <color theme="1" tint="0.499984740745262"/>
      </top>
      <bottom style="thin">
        <color theme="1" tint="0.499984740745262"/>
      </bottom>
      <diagonal/>
    </border>
    <border>
      <left style="thin">
        <color rgb="FFD9D2C0"/>
      </left>
      <right/>
      <top style="thin">
        <color rgb="FFD9D2C0"/>
      </top>
      <bottom style="thin">
        <color rgb="FFD9D2C0"/>
      </bottom>
      <diagonal/>
    </border>
    <border>
      <left style="thin">
        <color rgb="FFD9D2C0"/>
      </left>
      <right style="thin">
        <color rgb="FFD9D2C0"/>
      </right>
      <top style="thin">
        <color rgb="FFD9D2C0"/>
      </top>
      <bottom style="thin">
        <color rgb="FFD9D2C0"/>
      </bottom>
      <diagonal/>
    </border>
    <border>
      <left/>
      <right style="thin">
        <color theme="0" tint="-0.249977111117893"/>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5">
    <xf numFmtId="0" fontId="0" fillId="0" borderId="0"/>
    <xf numFmtId="0" fontId="1" fillId="0" borderId="0"/>
    <xf numFmtId="0" fontId="12" fillId="0" borderId="0" applyNumberFormat="0" applyFill="0" applyBorder="0" applyAlignment="0" applyProtection="0"/>
    <xf numFmtId="0" fontId="18" fillId="0" borderId="0"/>
    <xf numFmtId="0" fontId="32" fillId="0" borderId="0"/>
  </cellStyleXfs>
  <cellXfs count="176">
    <xf numFmtId="0" fontId="0" fillId="0" borderId="0" xfId="0"/>
    <xf numFmtId="0" fontId="2" fillId="0" borderId="1" xfId="1" applyFont="1" applyBorder="1"/>
    <xf numFmtId="0" fontId="2" fillId="2" borderId="2" xfId="1" applyFont="1" applyFill="1" applyBorder="1"/>
    <xf numFmtId="0" fontId="2" fillId="0" borderId="0" xfId="1" applyFont="1"/>
    <xf numFmtId="0" fontId="2" fillId="2" borderId="3" xfId="1" applyFont="1" applyFill="1" applyBorder="1"/>
    <xf numFmtId="0" fontId="2" fillId="2" borderId="1" xfId="1" applyFont="1" applyFill="1" applyBorder="1"/>
    <xf numFmtId="0" fontId="2" fillId="0" borderId="2" xfId="1" applyFont="1" applyBorder="1"/>
    <xf numFmtId="0" fontId="2" fillId="2" borderId="0" xfId="1" applyFont="1" applyFill="1"/>
    <xf numFmtId="0" fontId="5" fillId="0" borderId="0" xfId="1" applyFont="1"/>
    <xf numFmtId="0" fontId="5" fillId="6" borderId="4" xfId="1" applyFont="1" applyFill="1" applyBorder="1" applyAlignment="1">
      <alignment vertical="center" wrapText="1"/>
    </xf>
    <xf numFmtId="0" fontId="5" fillId="0" borderId="4" xfId="1" applyFont="1" applyBorder="1" applyAlignment="1">
      <alignment vertical="center" wrapText="1"/>
    </xf>
    <xf numFmtId="0" fontId="8" fillId="8" borderId="4" xfId="1" applyFont="1" applyFill="1" applyBorder="1" applyAlignment="1">
      <alignment horizontal="center" vertical="center" wrapText="1"/>
    </xf>
    <xf numFmtId="0" fontId="8" fillId="3" borderId="14" xfId="1" applyFont="1" applyFill="1" applyBorder="1" applyAlignment="1">
      <alignment vertical="center" wrapText="1"/>
    </xf>
    <xf numFmtId="0" fontId="8" fillId="0" borderId="0" xfId="1" applyFont="1" applyAlignment="1">
      <alignment vertical="center" wrapText="1"/>
    </xf>
    <xf numFmtId="0" fontId="2" fillId="10" borderId="15" xfId="1" applyFont="1" applyFill="1" applyBorder="1"/>
    <xf numFmtId="0" fontId="10" fillId="0" borderId="4"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6" xfId="1" applyFont="1" applyBorder="1" applyAlignment="1">
      <alignment vertical="center" wrapText="1"/>
    </xf>
    <xf numFmtId="0" fontId="2" fillId="0" borderId="0" xfId="1" applyFont="1" applyAlignment="1">
      <alignment vertical="center" wrapText="1"/>
    </xf>
    <xf numFmtId="0" fontId="2" fillId="10" borderId="16" xfId="1" applyFont="1" applyFill="1" applyBorder="1"/>
    <xf numFmtId="0" fontId="2" fillId="0" borderId="0" xfId="1" applyFont="1" applyAlignment="1">
      <alignment vertical="center"/>
    </xf>
    <xf numFmtId="0" fontId="2" fillId="2" borderId="16" xfId="1" applyFont="1" applyFill="1" applyBorder="1" applyAlignment="1">
      <alignment vertical="center" wrapText="1"/>
    </xf>
    <xf numFmtId="0" fontId="2" fillId="2" borderId="16" xfId="1" applyFont="1" applyFill="1" applyBorder="1" applyAlignment="1">
      <alignment horizontal="left" wrapText="1"/>
    </xf>
    <xf numFmtId="0" fontId="2" fillId="2" borderId="16" xfId="1" applyFont="1" applyFill="1" applyBorder="1" applyAlignment="1">
      <alignment wrapText="1"/>
    </xf>
    <xf numFmtId="0" fontId="2" fillId="8" borderId="12" xfId="1" applyFont="1" applyFill="1" applyBorder="1" applyAlignment="1">
      <alignment vertical="center" wrapText="1"/>
    </xf>
    <xf numFmtId="0" fontId="2" fillId="8" borderId="17" xfId="1" applyFont="1" applyFill="1" applyBorder="1" applyAlignment="1">
      <alignment vertical="center" wrapText="1"/>
    </xf>
    <xf numFmtId="0" fontId="8" fillId="8" borderId="17" xfId="1" applyFont="1" applyFill="1" applyBorder="1" applyAlignment="1">
      <alignment horizontal="center" vertical="center" wrapText="1"/>
    </xf>
    <xf numFmtId="0" fontId="5" fillId="0" borderId="19" xfId="1" applyFont="1" applyBorder="1" applyAlignment="1">
      <alignment horizontal="center" vertical="center" wrapText="1"/>
    </xf>
    <xf numFmtId="0" fontId="15" fillId="0" borderId="0" xfId="0" applyFont="1" applyAlignment="1">
      <alignment horizontal="left" vertical="top" wrapText="1"/>
    </xf>
    <xf numFmtId="0" fontId="11" fillId="3" borderId="22" xfId="0" applyFont="1" applyFill="1" applyBorder="1" applyAlignment="1">
      <alignment horizontal="left" vertical="center" wrapText="1"/>
    </xf>
    <xf numFmtId="0" fontId="11" fillId="8" borderId="22" xfId="0" applyFont="1" applyFill="1" applyBorder="1" applyAlignment="1">
      <alignment horizontal="left" vertical="center" wrapText="1"/>
    </xf>
    <xf numFmtId="0" fontId="16" fillId="0" borderId="0" xfId="0" applyFont="1" applyAlignment="1">
      <alignment horizontal="left" vertical="center" wrapText="1"/>
    </xf>
    <xf numFmtId="9" fontId="15" fillId="11" borderId="22" xfId="0" applyNumberFormat="1" applyFont="1" applyFill="1" applyBorder="1" applyAlignment="1">
      <alignment horizontal="center" vertical="center" wrapText="1"/>
    </xf>
    <xf numFmtId="9" fontId="16" fillId="11" borderId="22" xfId="0" applyNumberFormat="1" applyFont="1" applyFill="1" applyBorder="1" applyAlignment="1">
      <alignment horizontal="left" vertical="center" wrapText="1"/>
    </xf>
    <xf numFmtId="0" fontId="15" fillId="11" borderId="22" xfId="0" applyFont="1" applyFill="1" applyBorder="1" applyAlignment="1">
      <alignment horizontal="left" vertical="top" wrapText="1"/>
    </xf>
    <xf numFmtId="0" fontId="15" fillId="0" borderId="0" xfId="0" applyFont="1" applyAlignment="1">
      <alignment horizontal="left" vertical="center" wrapText="1"/>
    </xf>
    <xf numFmtId="9" fontId="15" fillId="0" borderId="22" xfId="0" applyNumberFormat="1" applyFont="1" applyBorder="1" applyAlignment="1">
      <alignment horizontal="center" vertical="center" wrapText="1"/>
    </xf>
    <xf numFmtId="9" fontId="16" fillId="0" borderId="22" xfId="0" applyNumberFormat="1" applyFont="1" applyBorder="1" applyAlignment="1">
      <alignment horizontal="left" vertical="center" wrapText="1"/>
    </xf>
    <xf numFmtId="0" fontId="15" fillId="0" borderId="22" xfId="0" applyFont="1" applyBorder="1" applyAlignment="1">
      <alignment horizontal="left" vertical="top" wrapText="1"/>
    </xf>
    <xf numFmtId="0" fontId="16" fillId="0" borderId="22" xfId="0" applyFont="1" applyBorder="1" applyAlignment="1">
      <alignment horizontal="left" vertical="center" wrapText="1"/>
    </xf>
    <xf numFmtId="0" fontId="15" fillId="0" borderId="22" xfId="0" applyFont="1" applyBorder="1" applyAlignment="1">
      <alignment horizontal="left" vertical="center" wrapText="1"/>
    </xf>
    <xf numFmtId="0" fontId="16" fillId="11" borderId="22" xfId="0" applyFont="1" applyFill="1" applyBorder="1" applyAlignment="1">
      <alignment horizontal="left" vertical="center" wrapText="1"/>
    </xf>
    <xf numFmtId="0" fontId="8" fillId="0" borderId="16" xfId="1" applyFont="1" applyBorder="1" applyAlignment="1">
      <alignment vertical="center" wrapText="1"/>
    </xf>
    <xf numFmtId="0" fontId="2" fillId="0" borderId="16" xfId="1" applyFont="1" applyBorder="1"/>
    <xf numFmtId="0" fontId="2" fillId="0" borderId="16" xfId="1" applyFont="1" applyBorder="1" applyAlignment="1">
      <alignment horizontal="left" vertical="center" wrapText="1"/>
    </xf>
    <xf numFmtId="0" fontId="2" fillId="0" borderId="12" xfId="1" applyFont="1" applyBorder="1" applyAlignment="1">
      <alignment vertical="center" wrapText="1"/>
    </xf>
    <xf numFmtId="0" fontId="3" fillId="0" borderId="0" xfId="1" applyFont="1" applyAlignment="1">
      <alignment vertical="center" wrapText="1"/>
    </xf>
    <xf numFmtId="0" fontId="2" fillId="12" borderId="0" xfId="3" applyFont="1" applyFill="1"/>
    <xf numFmtId="0" fontId="19" fillId="0" borderId="25" xfId="3" applyFont="1" applyBorder="1"/>
    <xf numFmtId="0" fontId="19" fillId="0" borderId="0" xfId="3" applyFont="1"/>
    <xf numFmtId="0" fontId="2" fillId="0" borderId="0" xfId="3" applyFont="1"/>
    <xf numFmtId="0" fontId="19" fillId="0" borderId="25" xfId="3" applyFont="1" applyBorder="1" applyAlignment="1">
      <alignment vertical="center"/>
    </xf>
    <xf numFmtId="0" fontId="19" fillId="0" borderId="0" xfId="3" applyFont="1" applyAlignment="1">
      <alignment vertical="center"/>
    </xf>
    <xf numFmtId="0" fontId="2" fillId="12" borderId="26" xfId="3" applyFont="1" applyFill="1" applyBorder="1"/>
    <xf numFmtId="0" fontId="2" fillId="12" borderId="27" xfId="3" applyFont="1" applyFill="1" applyBorder="1"/>
    <xf numFmtId="0" fontId="2" fillId="12" borderId="28" xfId="3" applyFont="1" applyFill="1" applyBorder="1"/>
    <xf numFmtId="0" fontId="22" fillId="12" borderId="36" xfId="3" applyFont="1" applyFill="1" applyBorder="1" applyAlignment="1">
      <alignment horizontal="left" vertical="top"/>
    </xf>
    <xf numFmtId="0" fontId="22" fillId="12" borderId="26" xfId="3" applyFont="1" applyFill="1" applyBorder="1" applyAlignment="1">
      <alignment horizontal="left" vertical="top"/>
    </xf>
    <xf numFmtId="0" fontId="22" fillId="12" borderId="28" xfId="3" applyFont="1" applyFill="1" applyBorder="1" applyAlignment="1">
      <alignment horizontal="left" vertical="top"/>
    </xf>
    <xf numFmtId="0" fontId="2" fillId="15" borderId="25" xfId="3" applyFont="1" applyFill="1" applyBorder="1"/>
    <xf numFmtId="0" fontId="2" fillId="12" borderId="26" xfId="3" applyFont="1" applyFill="1" applyBorder="1" applyAlignment="1">
      <alignment horizontal="left" vertical="top"/>
    </xf>
    <xf numFmtId="0" fontId="2" fillId="12" borderId="28" xfId="3" applyFont="1" applyFill="1" applyBorder="1" applyAlignment="1">
      <alignment horizontal="left" vertical="top"/>
    </xf>
    <xf numFmtId="0" fontId="2" fillId="0" borderId="25" xfId="3" applyFont="1" applyBorder="1"/>
    <xf numFmtId="0" fontId="10" fillId="0" borderId="25" xfId="3" applyFont="1" applyBorder="1"/>
    <xf numFmtId="0" fontId="25" fillId="15" borderId="0" xfId="3" applyFont="1" applyFill="1"/>
    <xf numFmtId="0" fontId="26" fillId="15" borderId="39" xfId="3" applyFont="1" applyFill="1" applyBorder="1"/>
    <xf numFmtId="0" fontId="2" fillId="0" borderId="40" xfId="3" applyFont="1" applyBorder="1"/>
    <xf numFmtId="0" fontId="2" fillId="0" borderId="25" xfId="3" applyFont="1" applyBorder="1" applyAlignment="1">
      <alignment vertical="center"/>
    </xf>
    <xf numFmtId="0" fontId="30" fillId="15" borderId="25" xfId="3" applyFont="1" applyFill="1" applyBorder="1" applyAlignment="1">
      <alignment horizontal="left"/>
    </xf>
    <xf numFmtId="0" fontId="29" fillId="17" borderId="25" xfId="3" applyFont="1" applyFill="1" applyBorder="1" applyAlignment="1">
      <alignment horizontal="left" vertical="center"/>
    </xf>
    <xf numFmtId="0" fontId="31" fillId="0" borderId="0" xfId="3" applyFont="1" applyAlignment="1">
      <alignment vertical="center" wrapText="1"/>
    </xf>
    <xf numFmtId="0" fontId="19" fillId="0" borderId="0" xfId="3" applyFont="1" applyAlignment="1">
      <alignment wrapText="1"/>
    </xf>
    <xf numFmtId="0" fontId="19" fillId="0" borderId="0" xfId="3" applyFont="1" applyAlignment="1">
      <alignment vertical="top" wrapText="1"/>
    </xf>
    <xf numFmtId="0" fontId="28" fillId="18" borderId="25" xfId="3" applyFont="1" applyFill="1" applyBorder="1" applyAlignment="1">
      <alignment horizontal="center" vertical="center"/>
    </xf>
    <xf numFmtId="0" fontId="28" fillId="19" borderId="25" xfId="3" applyFont="1" applyFill="1" applyBorder="1" applyAlignment="1">
      <alignment horizontal="center" vertical="center"/>
    </xf>
    <xf numFmtId="0" fontId="32" fillId="0" borderId="0" xfId="4"/>
    <xf numFmtId="0" fontId="35" fillId="20" borderId="44" xfId="4" applyFont="1" applyFill="1" applyBorder="1" applyAlignment="1">
      <alignment horizontal="center" vertical="center"/>
    </xf>
    <xf numFmtId="0" fontId="36" fillId="0" borderId="44" xfId="4" applyFont="1" applyBorder="1" applyAlignment="1">
      <alignment horizontal="center"/>
    </xf>
    <xf numFmtId="0" fontId="36" fillId="0" borderId="44" xfId="4" applyFont="1" applyBorder="1" applyAlignment="1">
      <alignment vertical="center" wrapText="1"/>
    </xf>
    <xf numFmtId="0" fontId="32" fillId="0" borderId="44" xfId="4" applyBorder="1" applyAlignment="1">
      <alignment horizontal="center" vertical="center"/>
    </xf>
    <xf numFmtId="0" fontId="38" fillId="0" borderId="44" xfId="4" applyFont="1" applyBorder="1"/>
    <xf numFmtId="0" fontId="34" fillId="0" borderId="44" xfId="4" applyFont="1" applyBorder="1" applyAlignment="1">
      <alignment horizontal="center"/>
    </xf>
    <xf numFmtId="9" fontId="34" fillId="0" borderId="44" xfId="4" applyNumberFormat="1" applyFont="1" applyBorder="1" applyAlignment="1">
      <alignment horizontal="center"/>
    </xf>
    <xf numFmtId="0" fontId="43" fillId="0" borderId="41" xfId="3" applyFont="1" applyBorder="1" applyAlignment="1">
      <alignment horizontal="left" vertical="center"/>
    </xf>
    <xf numFmtId="0" fontId="5" fillId="6" borderId="45" xfId="1" applyFont="1" applyFill="1" applyBorder="1" applyAlignment="1">
      <alignment vertical="center" wrapText="1"/>
    </xf>
    <xf numFmtId="0" fontId="15" fillId="11" borderId="22" xfId="0" applyFont="1" applyFill="1" applyBorder="1" applyAlignment="1">
      <alignment horizontal="center" vertical="top" wrapText="1"/>
    </xf>
    <xf numFmtId="0" fontId="3" fillId="8" borderId="4" xfId="1" applyFont="1" applyFill="1" applyBorder="1" applyAlignment="1">
      <alignment vertical="center" wrapText="1"/>
    </xf>
    <xf numFmtId="0" fontId="2" fillId="0" borderId="19" xfId="1" applyFont="1" applyBorder="1" applyAlignment="1">
      <alignment vertical="center" wrapText="1"/>
    </xf>
    <xf numFmtId="0" fontId="2" fillId="6" borderId="19" xfId="1" applyFont="1" applyFill="1" applyBorder="1" applyAlignment="1">
      <alignment horizontal="left" vertical="center" wrapText="1"/>
    </xf>
    <xf numFmtId="0" fontId="2" fillId="0" borderId="20"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20" xfId="1" applyFont="1" applyBorder="1" applyAlignment="1">
      <alignment horizontal="left" vertical="center" wrapText="1"/>
    </xf>
    <xf numFmtId="0" fontId="2" fillId="0" borderId="21" xfId="1" applyFont="1" applyBorder="1" applyAlignment="1">
      <alignment horizontal="left" vertical="center" wrapText="1"/>
    </xf>
    <xf numFmtId="0" fontId="2" fillId="0" borderId="23" xfId="1" applyFont="1" applyBorder="1" applyAlignment="1">
      <alignment horizontal="left" vertical="center" wrapText="1"/>
    </xf>
    <xf numFmtId="0" fontId="8" fillId="8" borderId="11" xfId="1" applyFont="1" applyFill="1" applyBorder="1" applyAlignment="1">
      <alignment vertical="center" wrapText="1"/>
    </xf>
    <xf numFmtId="0" fontId="8" fillId="8" borderId="0" xfId="1" applyFont="1" applyFill="1" applyAlignment="1">
      <alignment vertical="center" wrapText="1"/>
    </xf>
    <xf numFmtId="0" fontId="8" fillId="8" borderId="12" xfId="1" applyFont="1" applyFill="1" applyBorder="1" applyAlignment="1">
      <alignment vertical="center" wrapText="1"/>
    </xf>
    <xf numFmtId="0" fontId="17" fillId="8" borderId="24" xfId="1" applyFont="1" applyFill="1" applyBorder="1" applyAlignment="1">
      <alignment horizontal="center" vertical="center" wrapText="1"/>
    </xf>
    <xf numFmtId="0" fontId="17" fillId="8" borderId="21" xfId="1" applyFont="1" applyFill="1" applyBorder="1" applyAlignment="1">
      <alignment horizontal="center" vertical="center" wrapText="1"/>
    </xf>
    <xf numFmtId="0" fontId="5" fillId="0" borderId="20" xfId="1" applyFont="1" applyBorder="1" applyAlignment="1">
      <alignment horizontal="left" vertical="center" wrapText="1"/>
    </xf>
    <xf numFmtId="0" fontId="5" fillId="0" borderId="21" xfId="1" applyFont="1" applyBorder="1" applyAlignment="1">
      <alignment horizontal="left" vertical="center" wrapText="1"/>
    </xf>
    <xf numFmtId="0" fontId="13" fillId="6" borderId="19" xfId="2" applyFont="1" applyFill="1" applyBorder="1" applyAlignment="1">
      <alignment horizontal="left" vertical="center" wrapText="1"/>
    </xf>
    <xf numFmtId="0" fontId="13" fillId="6" borderId="20" xfId="2" applyFont="1" applyFill="1" applyBorder="1" applyAlignment="1">
      <alignment horizontal="left" vertical="center" wrapText="1"/>
    </xf>
    <xf numFmtId="0" fontId="2" fillId="6" borderId="4" xfId="1" applyFont="1" applyFill="1" applyBorder="1" applyAlignment="1">
      <alignment vertical="center" wrapText="1"/>
    </xf>
    <xf numFmtId="0" fontId="2" fillId="0" borderId="4" xfId="1" applyFont="1" applyBorder="1" applyAlignment="1">
      <alignment horizontal="left" vertical="center" wrapText="1"/>
    </xf>
    <xf numFmtId="0" fontId="2" fillId="0" borderId="13" xfId="1" applyFont="1" applyBorder="1" applyAlignment="1">
      <alignment horizontal="left" vertical="center" wrapText="1"/>
    </xf>
    <xf numFmtId="0" fontId="2" fillId="0" borderId="4" xfId="1" applyFont="1" applyBorder="1" applyAlignment="1">
      <alignment vertical="center" wrapText="1"/>
    </xf>
    <xf numFmtId="0" fontId="8" fillId="8" borderId="8" xfId="1" applyFont="1" applyFill="1" applyBorder="1" applyAlignment="1">
      <alignment horizontal="center" vertical="center" wrapText="1"/>
    </xf>
    <xf numFmtId="0" fontId="8" fillId="8" borderId="18" xfId="1" applyFont="1" applyFill="1" applyBorder="1" applyAlignment="1">
      <alignment horizontal="center" vertical="center" wrapText="1"/>
    </xf>
    <xf numFmtId="0" fontId="9" fillId="9" borderId="4" xfId="1" applyFont="1" applyFill="1" applyBorder="1" applyAlignment="1">
      <alignment vertical="center" wrapText="1"/>
    </xf>
    <xf numFmtId="0" fontId="9" fillId="9" borderId="13" xfId="1" applyFont="1" applyFill="1" applyBorder="1" applyAlignment="1">
      <alignment vertical="center" wrapText="1"/>
    </xf>
    <xf numFmtId="0" fontId="8" fillId="8" borderId="4" xfId="1" applyFont="1" applyFill="1" applyBorder="1" applyAlignment="1">
      <alignment vertical="center" wrapText="1"/>
    </xf>
    <xf numFmtId="0" fontId="8" fillId="8" borderId="4" xfId="1" applyFont="1" applyFill="1" applyBorder="1" applyAlignment="1">
      <alignment horizontal="center" vertical="center" wrapText="1"/>
    </xf>
    <xf numFmtId="0" fontId="8" fillId="8" borderId="13" xfId="1" applyFont="1" applyFill="1" applyBorder="1" applyAlignment="1">
      <alignment horizontal="center" vertical="center" wrapText="1"/>
    </xf>
    <xf numFmtId="0" fontId="11" fillId="9" borderId="4" xfId="1" applyFont="1" applyFill="1" applyBorder="1" applyAlignment="1">
      <alignment vertical="center" wrapText="1"/>
    </xf>
    <xf numFmtId="0" fontId="11" fillId="9" borderId="13" xfId="1" applyFont="1" applyFill="1" applyBorder="1" applyAlignment="1">
      <alignment vertical="center" wrapText="1"/>
    </xf>
    <xf numFmtId="0" fontId="2" fillId="7" borderId="4" xfId="1" applyFont="1" applyFill="1" applyBorder="1" applyAlignment="1">
      <alignment vertical="center" wrapText="1"/>
    </xf>
    <xf numFmtId="0" fontId="5" fillId="6" borderId="4" xfId="1" applyFont="1" applyFill="1" applyBorder="1" applyAlignment="1">
      <alignment vertical="center" wrapText="1"/>
    </xf>
    <xf numFmtId="0" fontId="5" fillId="0" borderId="4" xfId="1" applyFont="1" applyBorder="1" applyAlignment="1">
      <alignment vertical="center" wrapText="1"/>
    </xf>
    <xf numFmtId="0" fontId="2" fillId="0" borderId="11" xfId="1" applyFont="1" applyBorder="1" applyAlignment="1">
      <alignment wrapText="1"/>
    </xf>
    <xf numFmtId="0" fontId="2" fillId="0" borderId="0" xfId="1" applyFont="1" applyAlignment="1">
      <alignment wrapText="1"/>
    </xf>
    <xf numFmtId="0" fontId="2" fillId="0" borderId="12" xfId="1" applyFont="1" applyBorder="1" applyAlignment="1">
      <alignment wrapText="1"/>
    </xf>
    <xf numFmtId="0" fontId="5" fillId="6" borderId="8" xfId="1" applyFont="1" applyFill="1" applyBorder="1" applyAlignment="1">
      <alignment horizontal="center" vertical="center" wrapText="1"/>
    </xf>
    <xf numFmtId="0" fontId="5" fillId="6" borderId="9" xfId="1" applyFont="1" applyFill="1" applyBorder="1" applyAlignment="1">
      <alignment horizontal="center" vertical="center" wrapText="1"/>
    </xf>
    <xf numFmtId="0" fontId="5" fillId="6" borderId="10"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3" fillId="3" borderId="4" xfId="1" applyFont="1" applyFill="1" applyBorder="1" applyAlignment="1">
      <alignment vertical="center" wrapText="1"/>
    </xf>
    <xf numFmtId="0" fontId="2" fillId="4" borderId="5" xfId="1" applyFont="1" applyFill="1" applyBorder="1" applyAlignment="1">
      <alignment horizontal="center" vertical="top" wrapText="1"/>
    </xf>
    <xf numFmtId="0" fontId="2" fillId="4" borderId="6" xfId="1" applyFont="1" applyFill="1" applyBorder="1" applyAlignment="1">
      <alignment horizontal="center" vertical="top" wrapText="1"/>
    </xf>
    <xf numFmtId="0" fontId="2" fillId="4" borderId="7" xfId="1" applyFont="1" applyFill="1" applyBorder="1" applyAlignment="1">
      <alignment horizontal="center" vertical="top" wrapText="1"/>
    </xf>
    <xf numFmtId="0" fontId="6" fillId="5" borderId="4" xfId="1" applyFont="1" applyFill="1" applyBorder="1" applyAlignment="1">
      <alignment wrapText="1"/>
    </xf>
    <xf numFmtId="16" fontId="2" fillId="7" borderId="4" xfId="1" applyNumberFormat="1" applyFont="1" applyFill="1" applyBorder="1" applyAlignment="1">
      <alignment horizontal="left" vertical="center" wrapText="1"/>
    </xf>
    <xf numFmtId="0" fontId="2" fillId="7" borderId="4" xfId="1" applyFont="1" applyFill="1" applyBorder="1" applyAlignment="1">
      <alignment horizontal="left" vertical="center" wrapText="1"/>
    </xf>
    <xf numFmtId="0" fontId="2" fillId="4" borderId="0" xfId="3" applyFont="1" applyFill="1" applyAlignment="1">
      <alignment horizontal="center" vertical="center"/>
    </xf>
    <xf numFmtId="0" fontId="44" fillId="15" borderId="21" xfId="3" applyFont="1" applyFill="1" applyBorder="1" applyAlignment="1">
      <alignment horizontal="left" vertical="center" wrapText="1"/>
    </xf>
    <xf numFmtId="0" fontId="44" fillId="15" borderId="42" xfId="3" applyFont="1" applyFill="1" applyBorder="1" applyAlignment="1">
      <alignment horizontal="left" vertical="center" wrapText="1"/>
    </xf>
    <xf numFmtId="0" fontId="20" fillId="13" borderId="0" xfId="3" applyFont="1" applyFill="1" applyAlignment="1">
      <alignment vertical="center"/>
    </xf>
    <xf numFmtId="0" fontId="2" fillId="15" borderId="29" xfId="3" applyFont="1" applyFill="1" applyBorder="1" applyAlignment="1">
      <alignment horizontal="center"/>
    </xf>
    <xf numFmtId="0" fontId="21" fillId="12" borderId="31" xfId="3" applyFont="1" applyFill="1" applyBorder="1" applyAlignment="1">
      <alignment horizontal="center" vertical="top"/>
    </xf>
    <xf numFmtId="0" fontId="21" fillId="12" borderId="32" xfId="3" applyFont="1" applyFill="1" applyBorder="1" applyAlignment="1">
      <alignment horizontal="center" vertical="top"/>
    </xf>
    <xf numFmtId="0" fontId="21" fillId="12" borderId="33" xfId="3" applyFont="1" applyFill="1" applyBorder="1" applyAlignment="1">
      <alignment horizontal="center" vertical="top"/>
    </xf>
    <xf numFmtId="0" fontId="23" fillId="12" borderId="31" xfId="3" applyFont="1" applyFill="1" applyBorder="1" applyAlignment="1">
      <alignment horizontal="center" vertical="top"/>
    </xf>
    <xf numFmtId="0" fontId="23" fillId="12" borderId="32" xfId="3" applyFont="1" applyFill="1" applyBorder="1" applyAlignment="1">
      <alignment horizontal="center" vertical="top"/>
    </xf>
    <xf numFmtId="0" fontId="23" fillId="12" borderId="36" xfId="3" applyFont="1" applyFill="1" applyBorder="1" applyAlignment="1">
      <alignment horizontal="center" vertical="top"/>
    </xf>
    <xf numFmtId="0" fontId="22" fillId="12" borderId="31" xfId="3" applyFont="1" applyFill="1" applyBorder="1" applyAlignment="1">
      <alignment horizontal="center" vertical="top"/>
    </xf>
    <xf numFmtId="0" fontId="22" fillId="12" borderId="32" xfId="3" applyFont="1" applyFill="1" applyBorder="1" applyAlignment="1">
      <alignment horizontal="center" vertical="top"/>
    </xf>
    <xf numFmtId="0" fontId="22" fillId="12" borderId="36" xfId="3" applyFont="1" applyFill="1" applyBorder="1" applyAlignment="1">
      <alignment horizontal="center" vertical="top"/>
    </xf>
    <xf numFmtId="0" fontId="24" fillId="16" borderId="0" xfId="3" applyFont="1" applyFill="1" applyAlignment="1">
      <alignment horizontal="center" vertical="center" wrapText="1"/>
    </xf>
    <xf numFmtId="0" fontId="7" fillId="7" borderId="13" xfId="1" applyFont="1" applyFill="1" applyBorder="1" applyAlignment="1">
      <alignment horizontal="center" vertical="center" wrapText="1"/>
    </xf>
    <xf numFmtId="0" fontId="7" fillId="7" borderId="6" xfId="1" applyFont="1" applyFill="1" applyBorder="1" applyAlignment="1">
      <alignment horizontal="center" vertical="center" wrapText="1"/>
    </xf>
    <xf numFmtId="0" fontId="7" fillId="7" borderId="46" xfId="1" applyFont="1" applyFill="1" applyBorder="1" applyAlignment="1">
      <alignment horizontal="center" vertical="center" wrapText="1"/>
    </xf>
    <xf numFmtId="0" fontId="5" fillId="6" borderId="47" xfId="1" applyFont="1" applyFill="1" applyBorder="1" applyAlignment="1">
      <alignment horizontal="center" vertical="center" wrapText="1"/>
    </xf>
    <xf numFmtId="0" fontId="5" fillId="6" borderId="48" xfId="1" applyFont="1" applyFill="1" applyBorder="1" applyAlignment="1">
      <alignment horizontal="center" vertical="center" wrapText="1"/>
    </xf>
    <xf numFmtId="0" fontId="5" fillId="6" borderId="49" xfId="1" applyFont="1" applyFill="1" applyBorder="1" applyAlignment="1">
      <alignment horizontal="center" vertical="center" wrapText="1"/>
    </xf>
    <xf numFmtId="0" fontId="3" fillId="8" borderId="13" xfId="1" applyFont="1" applyFill="1" applyBorder="1" applyAlignment="1">
      <alignment horizontal="left" vertical="center" wrapText="1"/>
    </xf>
    <xf numFmtId="0" fontId="3" fillId="8" borderId="6" xfId="1" applyFont="1" applyFill="1" applyBorder="1" applyAlignment="1">
      <alignment horizontal="left" vertical="center" wrapText="1"/>
    </xf>
    <xf numFmtId="0" fontId="33" fillId="20" borderId="0" xfId="4" applyFont="1" applyFill="1" applyAlignment="1">
      <alignment horizontal="left" vertical="center" indent="1"/>
    </xf>
    <xf numFmtId="0" fontId="37" fillId="21" borderId="44" xfId="4" applyFont="1" applyFill="1" applyBorder="1" applyAlignment="1">
      <alignment horizontal="center" vertical="center" wrapText="1"/>
    </xf>
    <xf numFmtId="0" fontId="39" fillId="20" borderId="0" xfId="4" applyFont="1" applyFill="1" applyAlignment="1">
      <alignment horizontal="left" vertical="center" indent="1"/>
    </xf>
    <xf numFmtId="0" fontId="41" fillId="0" borderId="43" xfId="4" applyFont="1" applyBorder="1" applyAlignment="1">
      <alignment horizontal="center"/>
    </xf>
    <xf numFmtId="0" fontId="2" fillId="14" borderId="0" xfId="3" applyFont="1" applyFill="1" applyAlignment="1"/>
    <xf numFmtId="0" fontId="19" fillId="0" borderId="30" xfId="3" applyFont="1" applyBorder="1" applyAlignment="1"/>
    <xf numFmtId="0" fontId="19" fillId="0" borderId="34" xfId="3" applyFont="1" applyBorder="1" applyAlignment="1"/>
    <xf numFmtId="0" fontId="19" fillId="0" borderId="35" xfId="3" applyFont="1" applyBorder="1" applyAlignment="1"/>
    <xf numFmtId="0" fontId="19" fillId="0" borderId="37" xfId="3" applyFont="1" applyBorder="1" applyAlignment="1"/>
    <xf numFmtId="0" fontId="19" fillId="0" borderId="38" xfId="3" applyFont="1" applyBorder="1" applyAlignment="1"/>
    <xf numFmtId="0" fontId="2" fillId="3" borderId="0" xfId="3" applyFont="1" applyFill="1" applyAlignment="1"/>
    <xf numFmtId="0" fontId="26" fillId="15" borderId="39" xfId="3" applyFont="1" applyFill="1" applyBorder="1" applyAlignment="1"/>
    <xf numFmtId="0" fontId="27" fillId="0" borderId="39" xfId="3" applyFont="1" applyBorder="1" applyAlignment="1"/>
    <xf numFmtId="0" fontId="27" fillId="0" borderId="30" xfId="3" applyFont="1" applyBorder="1" applyAlignment="1"/>
    <xf numFmtId="0" fontId="34" fillId="0" borderId="0" xfId="4" applyFont="1" applyAlignment="1"/>
    <xf numFmtId="0" fontId="32" fillId="21" borderId="43" xfId="4" applyFill="1" applyBorder="1" applyAlignment="1"/>
    <xf numFmtId="0" fontId="40" fillId="0" borderId="0" xfId="4" applyFont="1" applyAlignment="1"/>
    <xf numFmtId="0" fontId="42" fillId="0" borderId="0" xfId="4" applyFont="1" applyAlignment="1"/>
    <xf numFmtId="0" fontId="38" fillId="0" borderId="0" xfId="4" applyFont="1" applyAlignment="1"/>
  </cellXfs>
  <cellStyles count="5">
    <cellStyle name="Hyperlink" xfId="2" builtinId="8"/>
    <cellStyle name="Normal" xfId="0" builtinId="0"/>
    <cellStyle name="Normal 2" xfId="1" xr:uid="{02ED8EB9-7419-4EC6-A442-3B2AA772B5CF}"/>
    <cellStyle name="Normal 3" xfId="3" xr:uid="{91168BC8-6F08-49E4-840D-F1C20190D788}"/>
    <cellStyle name="Normal 4" xfId="4" xr:uid="{58361DC1-2835-4CFB-B894-8D50292A05C1}"/>
  </cellStyles>
  <dxfs count="6">
    <dxf>
      <fill>
        <patternFill>
          <bgColor rgb="FFFFC7CE"/>
        </patternFill>
      </fill>
    </dxf>
    <dxf>
      <fill>
        <patternFill>
          <bgColor rgb="FFFFD9A0"/>
        </patternFill>
      </fill>
    </dxf>
    <dxf>
      <fill>
        <patternFill>
          <bgColor rgb="FFFFEB9C"/>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mruColors>
      <color rgb="FF484B5D"/>
      <color rgb="FF0664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10584</xdr:colOff>
      <xdr:row>2</xdr:row>
      <xdr:rowOff>127000</xdr:rowOff>
    </xdr:from>
    <xdr:to>
      <xdr:col>2</xdr:col>
      <xdr:colOff>1144059</xdr:colOff>
      <xdr:row>7</xdr:row>
      <xdr:rowOff>27294</xdr:rowOff>
    </xdr:to>
    <xdr:pic>
      <xdr:nvPicPr>
        <xdr:cNvPr id="2" name="Picture 1">
          <a:extLst>
            <a:ext uri="{FF2B5EF4-FFF2-40B4-BE49-F238E27FC236}">
              <a16:creationId xmlns:a16="http://schemas.microsoft.com/office/drawing/2014/main" id="{44DD41D9-4B6B-4601-B08F-DA147A55EDD0}"/>
            </a:ext>
          </a:extLst>
        </xdr:cNvPr>
        <xdr:cNvPicPr>
          <a:picLocks noChangeAspect="1"/>
        </xdr:cNvPicPr>
      </xdr:nvPicPr>
      <xdr:blipFill>
        <a:blip xmlns:r="http://schemas.openxmlformats.org/officeDocument/2006/relationships" r:embed="rId1"/>
        <a:stretch>
          <a:fillRect/>
        </a:stretch>
      </xdr:blipFill>
      <xdr:spPr>
        <a:xfrm>
          <a:off x="940859" y="704850"/>
          <a:ext cx="1136650" cy="12687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C7CC-9601-41C9-BF37-DA581B290071}">
  <sheetPr>
    <tabColor rgb="FF066470"/>
  </sheetPr>
  <dimension ref="A1:Y46"/>
  <sheetViews>
    <sheetView topLeftCell="A35" zoomScaleNormal="100" workbookViewId="0">
      <selection activeCell="C42" sqref="C42:G42"/>
    </sheetView>
  </sheetViews>
  <sheetFormatPr defaultColWidth="8.85546875" defaultRowHeight="12.95"/>
  <cols>
    <col min="1" max="1" width="4.7109375" style="1" customWidth="1"/>
    <col min="2" max="2" width="11" style="3" customWidth="1"/>
    <col min="3" max="6" width="8.85546875" style="3"/>
    <col min="7" max="7" width="18.7109375" style="3" customWidth="1"/>
    <col min="8" max="8" width="11.5703125" style="3" customWidth="1"/>
    <col min="9" max="9" width="10" style="3" customWidth="1"/>
    <col min="10" max="10" width="10.85546875" style="3" customWidth="1"/>
    <col min="11" max="14" width="8.85546875" style="3"/>
    <col min="15" max="15" width="19.42578125" style="3" customWidth="1"/>
    <col min="16" max="16" width="44.28515625" style="3" customWidth="1"/>
    <col min="17" max="17" width="29.140625" style="3" customWidth="1"/>
    <col min="18" max="18" width="8.85546875" style="3"/>
    <col min="19" max="19" width="0" style="3" hidden="1" customWidth="1"/>
    <col min="20" max="16384" width="8.85546875" style="3"/>
  </cols>
  <sheetData>
    <row r="1" spans="1:25" s="1" customFormat="1" ht="20.65" customHeight="1">
      <c r="P1" s="2"/>
      <c r="Q1" s="3"/>
      <c r="R1" s="3"/>
      <c r="S1" s="3"/>
      <c r="T1" s="3"/>
      <c r="U1" s="4"/>
      <c r="V1" s="5"/>
      <c r="W1" s="5"/>
      <c r="X1" s="5"/>
      <c r="Y1" s="5"/>
    </row>
    <row r="2" spans="1:25" ht="48" customHeight="1">
      <c r="A2" s="6"/>
      <c r="B2" s="127" t="s">
        <v>0</v>
      </c>
      <c r="C2" s="127"/>
      <c r="D2" s="127"/>
      <c r="E2" s="127"/>
      <c r="F2" s="127"/>
      <c r="G2" s="127"/>
      <c r="H2" s="127"/>
      <c r="I2" s="127"/>
      <c r="J2" s="127"/>
      <c r="K2" s="127"/>
      <c r="L2" s="127"/>
      <c r="M2" s="127"/>
      <c r="N2" s="127"/>
      <c r="O2" s="127"/>
      <c r="P2" s="7"/>
      <c r="U2" s="7"/>
      <c r="V2" s="7"/>
      <c r="W2" s="7"/>
      <c r="X2" s="7"/>
      <c r="Y2" s="7"/>
    </row>
    <row r="3" spans="1:25" ht="31.9" customHeight="1">
      <c r="B3" s="128" t="s">
        <v>1</v>
      </c>
      <c r="C3" s="129"/>
      <c r="D3" s="129"/>
      <c r="E3" s="129"/>
      <c r="F3" s="129"/>
      <c r="G3" s="129"/>
      <c r="H3" s="129"/>
      <c r="I3" s="129"/>
      <c r="J3" s="129"/>
      <c r="K3" s="129"/>
      <c r="L3" s="129"/>
      <c r="M3" s="129"/>
      <c r="N3" s="129"/>
      <c r="O3" s="130"/>
      <c r="P3" s="7"/>
      <c r="S3" s="8" t="s">
        <v>2</v>
      </c>
      <c r="U3" s="7"/>
      <c r="V3" s="7"/>
      <c r="W3" s="7"/>
      <c r="X3" s="7"/>
      <c r="Y3" s="7"/>
    </row>
    <row r="4" spans="1:25" ht="13.9" customHeight="1">
      <c r="A4" s="6"/>
      <c r="B4" s="131" t="s">
        <v>3</v>
      </c>
      <c r="C4" s="131"/>
      <c r="D4" s="131"/>
      <c r="E4" s="131"/>
      <c r="F4" s="131"/>
      <c r="G4" s="131" t="s">
        <v>4</v>
      </c>
      <c r="H4" s="131"/>
      <c r="I4" s="131"/>
      <c r="J4" s="131"/>
      <c r="K4" s="131"/>
      <c r="L4" s="131"/>
      <c r="M4" s="131"/>
      <c r="N4" s="131"/>
      <c r="O4" s="131"/>
      <c r="P4" s="7"/>
      <c r="S4" s="3" t="s">
        <v>5</v>
      </c>
      <c r="U4" s="7"/>
      <c r="V4" s="7"/>
      <c r="W4" s="7"/>
      <c r="X4" s="7"/>
      <c r="Y4" s="7"/>
    </row>
    <row r="5" spans="1:25" ht="13.9" customHeight="1">
      <c r="A5" s="6"/>
      <c r="B5" s="118" t="s">
        <v>6</v>
      </c>
      <c r="C5" s="118"/>
      <c r="D5" s="117"/>
      <c r="E5" s="117"/>
      <c r="F5" s="117"/>
      <c r="G5" s="119" t="s">
        <v>7</v>
      </c>
      <c r="H5" s="119"/>
      <c r="I5" s="10"/>
      <c r="J5" s="132"/>
      <c r="K5" s="133"/>
      <c r="L5" s="133"/>
      <c r="M5" s="133"/>
      <c r="N5" s="133"/>
      <c r="O5" s="133"/>
      <c r="P5" s="7"/>
      <c r="S5" s="3" t="s">
        <v>8</v>
      </c>
      <c r="U5" s="7"/>
      <c r="V5" s="7"/>
      <c r="W5" s="7"/>
      <c r="X5" s="7"/>
      <c r="Y5" s="7"/>
    </row>
    <row r="6" spans="1:25" ht="29.65" customHeight="1">
      <c r="A6" s="6"/>
      <c r="B6" s="118" t="s">
        <v>9</v>
      </c>
      <c r="C6" s="118"/>
      <c r="D6" s="117"/>
      <c r="E6" s="117"/>
      <c r="F6" s="117"/>
      <c r="G6" s="118" t="s">
        <v>10</v>
      </c>
      <c r="H6" s="118"/>
      <c r="I6" s="9"/>
      <c r="J6" s="117"/>
      <c r="K6" s="117"/>
      <c r="L6" s="117"/>
      <c r="M6" s="117"/>
      <c r="N6" s="117"/>
      <c r="O6" s="117"/>
      <c r="P6" s="7"/>
      <c r="U6" s="7"/>
      <c r="V6" s="7"/>
      <c r="W6" s="7"/>
      <c r="X6" s="7"/>
      <c r="Y6" s="7"/>
    </row>
    <row r="7" spans="1:25">
      <c r="A7" s="6"/>
      <c r="B7" s="118" t="s">
        <v>11</v>
      </c>
      <c r="C7" s="118"/>
      <c r="D7" s="117"/>
      <c r="E7" s="117"/>
      <c r="F7" s="117"/>
      <c r="G7" s="118" t="s">
        <v>12</v>
      </c>
      <c r="H7" s="118"/>
      <c r="I7" s="123"/>
      <c r="J7" s="126" t="s">
        <v>13</v>
      </c>
      <c r="K7" s="126"/>
      <c r="L7" s="126"/>
      <c r="M7" s="126"/>
      <c r="N7" s="126"/>
      <c r="O7" s="126"/>
      <c r="P7" s="7"/>
      <c r="U7" s="7"/>
      <c r="V7" s="7"/>
      <c r="W7" s="7"/>
      <c r="X7" s="7"/>
      <c r="Y7" s="7"/>
    </row>
    <row r="8" spans="1:25" ht="13.9" customHeight="1">
      <c r="A8" s="6"/>
      <c r="B8" s="118" t="s">
        <v>14</v>
      </c>
      <c r="C8" s="118"/>
      <c r="D8" s="117"/>
      <c r="E8" s="117"/>
      <c r="F8" s="117"/>
      <c r="G8" s="118"/>
      <c r="H8" s="118"/>
      <c r="I8" s="124"/>
      <c r="J8" s="126"/>
      <c r="K8" s="126"/>
      <c r="L8" s="126"/>
      <c r="M8" s="126"/>
      <c r="N8" s="126"/>
      <c r="O8" s="126"/>
      <c r="P8" s="7"/>
      <c r="U8" s="7"/>
      <c r="V8" s="7"/>
      <c r="W8" s="7"/>
      <c r="X8" s="7"/>
      <c r="Y8" s="7"/>
    </row>
    <row r="9" spans="1:25">
      <c r="A9" s="6"/>
      <c r="B9" s="118" t="s">
        <v>15</v>
      </c>
      <c r="C9" s="118"/>
      <c r="D9" s="117"/>
      <c r="E9" s="117"/>
      <c r="F9" s="117"/>
      <c r="G9" s="118"/>
      <c r="H9" s="118"/>
      <c r="I9" s="125"/>
      <c r="J9" s="126"/>
      <c r="K9" s="126"/>
      <c r="L9" s="126"/>
      <c r="M9" s="126"/>
      <c r="N9" s="126"/>
      <c r="O9" s="126"/>
      <c r="P9" s="7"/>
      <c r="U9" s="7"/>
      <c r="V9" s="7"/>
      <c r="W9" s="7"/>
      <c r="X9" s="7"/>
      <c r="Y9" s="7"/>
    </row>
    <row r="10" spans="1:25" ht="107.45" customHeight="1">
      <c r="A10" s="6"/>
      <c r="B10" s="119" t="s">
        <v>16</v>
      </c>
      <c r="C10" s="119"/>
      <c r="D10" s="117" t="s">
        <v>17</v>
      </c>
      <c r="E10" s="117"/>
      <c r="F10" s="117"/>
      <c r="G10" s="117"/>
      <c r="H10" s="117"/>
      <c r="I10" s="117"/>
      <c r="J10" s="117"/>
      <c r="K10" s="117"/>
      <c r="L10" s="117"/>
      <c r="M10" s="117"/>
      <c r="N10" s="117"/>
      <c r="O10" s="117"/>
      <c r="P10" s="7"/>
      <c r="U10" s="7"/>
      <c r="V10" s="7"/>
      <c r="W10" s="7"/>
      <c r="X10" s="7"/>
      <c r="Y10" s="7"/>
    </row>
    <row r="11" spans="1:25">
      <c r="B11" s="120"/>
      <c r="C11" s="121"/>
      <c r="D11" s="121"/>
      <c r="E11" s="121"/>
      <c r="F11" s="121"/>
      <c r="G11" s="121"/>
      <c r="H11" s="121"/>
      <c r="I11" s="121"/>
      <c r="J11" s="121"/>
      <c r="K11" s="121"/>
      <c r="L11" s="121"/>
      <c r="M11" s="121"/>
      <c r="N11" s="121"/>
      <c r="O11" s="122"/>
      <c r="P11" s="7"/>
      <c r="U11" s="7"/>
      <c r="V11" s="7"/>
      <c r="W11" s="7"/>
      <c r="X11" s="7"/>
      <c r="Y11" s="7"/>
    </row>
    <row r="12" spans="1:25" ht="46.5">
      <c r="A12" s="6"/>
      <c r="B12" s="112" t="s">
        <v>18</v>
      </c>
      <c r="C12" s="112"/>
      <c r="D12" s="112"/>
      <c r="E12" s="112"/>
      <c r="F12" s="112"/>
      <c r="G12" s="112"/>
      <c r="H12" s="11" t="s">
        <v>19</v>
      </c>
      <c r="I12" s="11" t="s">
        <v>20</v>
      </c>
      <c r="J12" s="11" t="s">
        <v>21</v>
      </c>
      <c r="K12" s="113" t="s">
        <v>22</v>
      </c>
      <c r="L12" s="113"/>
      <c r="M12" s="113"/>
      <c r="N12" s="113"/>
      <c r="O12" s="114"/>
      <c r="P12" s="12" t="s">
        <v>23</v>
      </c>
      <c r="Q12" s="13"/>
      <c r="R12" s="13"/>
      <c r="S12" s="13"/>
      <c r="T12" s="13"/>
      <c r="U12" s="7"/>
      <c r="V12" s="7"/>
      <c r="W12" s="7"/>
      <c r="X12" s="7"/>
      <c r="Y12" s="7"/>
    </row>
    <row r="13" spans="1:25" ht="14.45">
      <c r="A13" s="6"/>
      <c r="B13" s="110" t="s">
        <v>24</v>
      </c>
      <c r="C13" s="110"/>
      <c r="D13" s="110"/>
      <c r="E13" s="110"/>
      <c r="F13" s="110"/>
      <c r="G13" s="110"/>
      <c r="H13" s="110"/>
      <c r="I13" s="110"/>
      <c r="J13" s="110"/>
      <c r="K13" s="110"/>
      <c r="L13" s="110"/>
      <c r="M13" s="110"/>
      <c r="N13" s="110"/>
      <c r="O13" s="111"/>
      <c r="P13" s="14"/>
      <c r="U13" s="7"/>
      <c r="V13" s="7"/>
      <c r="W13" s="7"/>
      <c r="X13" s="7"/>
      <c r="Y13" s="7"/>
    </row>
    <row r="14" spans="1:25" ht="39">
      <c r="A14" s="6"/>
      <c r="B14" s="15">
        <v>1</v>
      </c>
      <c r="C14" s="107" t="s">
        <v>25</v>
      </c>
      <c r="D14" s="107"/>
      <c r="E14" s="107"/>
      <c r="F14" s="107"/>
      <c r="G14" s="107"/>
      <c r="H14" s="16"/>
      <c r="I14" s="16"/>
      <c r="J14" s="16">
        <v>6</v>
      </c>
      <c r="K14" s="105"/>
      <c r="L14" s="105"/>
      <c r="M14" s="105"/>
      <c r="N14" s="105"/>
      <c r="O14" s="106"/>
      <c r="P14" s="17" t="s">
        <v>26</v>
      </c>
      <c r="Q14" s="18"/>
      <c r="R14" s="18"/>
      <c r="S14" s="18"/>
      <c r="T14" s="18"/>
      <c r="U14" s="7"/>
      <c r="V14" s="7"/>
      <c r="W14" s="7"/>
      <c r="X14" s="7"/>
      <c r="Y14" s="7"/>
    </row>
    <row r="15" spans="1:25" ht="14.45">
      <c r="A15" s="6"/>
      <c r="B15" s="115" t="s">
        <v>27</v>
      </c>
      <c r="C15" s="115"/>
      <c r="D15" s="115"/>
      <c r="E15" s="115"/>
      <c r="F15" s="115"/>
      <c r="G15" s="115"/>
      <c r="H15" s="115"/>
      <c r="I15" s="115"/>
      <c r="J15" s="115"/>
      <c r="K15" s="115"/>
      <c r="L15" s="115"/>
      <c r="M15" s="115"/>
      <c r="N15" s="115"/>
      <c r="O15" s="116"/>
      <c r="P15" s="19"/>
      <c r="Q15" s="20"/>
      <c r="U15" s="7"/>
      <c r="V15" s="7"/>
      <c r="W15" s="7"/>
      <c r="X15" s="7"/>
      <c r="Y15" s="7"/>
    </row>
    <row r="16" spans="1:25" ht="41.65" customHeight="1">
      <c r="A16" s="6"/>
      <c r="B16" s="15">
        <v>2</v>
      </c>
      <c r="C16" s="104" t="s">
        <v>28</v>
      </c>
      <c r="D16" s="104"/>
      <c r="E16" s="104"/>
      <c r="F16" s="104"/>
      <c r="G16" s="104"/>
      <c r="H16" s="16" t="s">
        <v>8</v>
      </c>
      <c r="I16" s="16"/>
      <c r="J16" s="16">
        <v>2</v>
      </c>
      <c r="K16" s="105"/>
      <c r="L16" s="105"/>
      <c r="M16" s="105"/>
      <c r="N16" s="105"/>
      <c r="O16" s="106"/>
      <c r="P16" s="21" t="s">
        <v>29</v>
      </c>
      <c r="Q16" s="20"/>
      <c r="U16" s="7"/>
      <c r="V16" s="7"/>
      <c r="W16" s="7"/>
      <c r="X16" s="7"/>
      <c r="Y16" s="7"/>
    </row>
    <row r="17" spans="1:25" ht="59.45" customHeight="1">
      <c r="A17" s="6"/>
      <c r="B17" s="15">
        <v>3</v>
      </c>
      <c r="C17" s="104" t="s">
        <v>30</v>
      </c>
      <c r="D17" s="104"/>
      <c r="E17" s="104"/>
      <c r="F17" s="104"/>
      <c r="G17" s="104"/>
      <c r="H17" s="16"/>
      <c r="I17" s="16"/>
      <c r="J17" s="16">
        <v>4</v>
      </c>
      <c r="K17" s="105"/>
      <c r="L17" s="105"/>
      <c r="M17" s="105"/>
      <c r="N17" s="105"/>
      <c r="O17" s="106"/>
      <c r="P17" s="22" t="s">
        <v>31</v>
      </c>
      <c r="Q17" s="18" t="s">
        <v>32</v>
      </c>
      <c r="U17" s="7"/>
      <c r="V17" s="7"/>
      <c r="W17" s="7"/>
      <c r="X17" s="7"/>
      <c r="Y17" s="7"/>
    </row>
    <row r="18" spans="1:25" ht="47.45" customHeight="1">
      <c r="A18" s="6"/>
      <c r="B18" s="15">
        <v>4</v>
      </c>
      <c r="C18" s="104" t="s">
        <v>33</v>
      </c>
      <c r="D18" s="104"/>
      <c r="E18" s="104"/>
      <c r="F18" s="104"/>
      <c r="G18" s="104"/>
      <c r="H18" s="16"/>
      <c r="I18" s="16"/>
      <c r="J18" s="16">
        <v>4</v>
      </c>
      <c r="K18" s="105"/>
      <c r="L18" s="105"/>
      <c r="M18" s="105"/>
      <c r="N18" s="105"/>
      <c r="O18" s="106"/>
      <c r="P18" s="23" t="s">
        <v>34</v>
      </c>
      <c r="Q18" s="20"/>
      <c r="U18" s="7"/>
      <c r="V18" s="7"/>
      <c r="W18" s="7"/>
      <c r="X18" s="7"/>
      <c r="Y18" s="7"/>
    </row>
    <row r="19" spans="1:25" ht="43.9" customHeight="1">
      <c r="A19" s="6"/>
      <c r="B19" s="15">
        <v>5</v>
      </c>
      <c r="C19" s="104" t="s">
        <v>35</v>
      </c>
      <c r="D19" s="104"/>
      <c r="E19" s="104"/>
      <c r="F19" s="104"/>
      <c r="G19" s="104"/>
      <c r="H19" s="16" t="s">
        <v>5</v>
      </c>
      <c r="I19" s="16"/>
      <c r="J19" s="16">
        <v>2</v>
      </c>
      <c r="K19" s="105"/>
      <c r="L19" s="105"/>
      <c r="M19" s="105"/>
      <c r="N19" s="105"/>
      <c r="O19" s="106"/>
      <c r="P19" s="21" t="s">
        <v>29</v>
      </c>
      <c r="Q19" s="20"/>
      <c r="U19" s="7"/>
      <c r="V19" s="7"/>
      <c r="W19" s="7"/>
      <c r="X19" s="7"/>
      <c r="Y19" s="7"/>
    </row>
    <row r="20" spans="1:25" ht="14.45">
      <c r="A20" s="6"/>
      <c r="B20" s="110" t="s">
        <v>36</v>
      </c>
      <c r="C20" s="110"/>
      <c r="D20" s="110"/>
      <c r="E20" s="110"/>
      <c r="F20" s="110"/>
      <c r="G20" s="110"/>
      <c r="H20" s="110"/>
      <c r="I20" s="110"/>
      <c r="J20" s="110"/>
      <c r="K20" s="110"/>
      <c r="L20" s="110"/>
      <c r="M20" s="110"/>
      <c r="N20" s="110"/>
      <c r="O20" s="111"/>
      <c r="P20" s="19"/>
      <c r="Q20" s="20"/>
      <c r="U20" s="7"/>
      <c r="V20" s="7"/>
      <c r="W20" s="7"/>
      <c r="X20" s="7"/>
      <c r="Y20" s="7"/>
    </row>
    <row r="21" spans="1:25" ht="42" customHeight="1">
      <c r="A21" s="6"/>
      <c r="B21" s="15">
        <v>6</v>
      </c>
      <c r="C21" s="107" t="s">
        <v>37</v>
      </c>
      <c r="D21" s="107"/>
      <c r="E21" s="107"/>
      <c r="F21" s="107"/>
      <c r="G21" s="107"/>
      <c r="H21" s="16" t="s">
        <v>5</v>
      </c>
      <c r="I21" s="16"/>
      <c r="J21" s="16">
        <v>2</v>
      </c>
      <c r="K21" s="105"/>
      <c r="L21" s="105"/>
      <c r="M21" s="105"/>
      <c r="N21" s="105"/>
      <c r="O21" s="106"/>
      <c r="P21" s="21" t="s">
        <v>29</v>
      </c>
      <c r="Q21" s="20"/>
      <c r="U21" s="7"/>
      <c r="V21" s="7"/>
      <c r="W21" s="7"/>
      <c r="X21" s="7"/>
      <c r="Y21" s="7"/>
    </row>
    <row r="22" spans="1:25" ht="46.15" customHeight="1">
      <c r="A22" s="6"/>
      <c r="B22" s="15">
        <v>7</v>
      </c>
      <c r="C22" s="104" t="s">
        <v>38</v>
      </c>
      <c r="D22" s="104"/>
      <c r="E22" s="104"/>
      <c r="F22" s="104"/>
      <c r="G22" s="104"/>
      <c r="H22" s="16" t="s">
        <v>5</v>
      </c>
      <c r="I22" s="16"/>
      <c r="J22" s="16">
        <v>2</v>
      </c>
      <c r="K22" s="105"/>
      <c r="L22" s="105"/>
      <c r="M22" s="105"/>
      <c r="N22" s="105"/>
      <c r="O22" s="106"/>
      <c r="P22" s="21" t="s">
        <v>29</v>
      </c>
      <c r="Q22" s="20"/>
      <c r="U22" s="7"/>
      <c r="V22" s="7"/>
      <c r="W22" s="7"/>
      <c r="X22" s="7"/>
      <c r="Y22" s="7"/>
    </row>
    <row r="23" spans="1:25" ht="43.9" customHeight="1">
      <c r="A23" s="6"/>
      <c r="B23" s="15">
        <v>8</v>
      </c>
      <c r="C23" s="107" t="s">
        <v>39</v>
      </c>
      <c r="D23" s="107"/>
      <c r="E23" s="107"/>
      <c r="F23" s="107"/>
      <c r="G23" s="107"/>
      <c r="H23" s="16" t="s">
        <v>5</v>
      </c>
      <c r="I23" s="16"/>
      <c r="J23" s="16">
        <v>2</v>
      </c>
      <c r="K23" s="105"/>
      <c r="L23" s="105"/>
      <c r="M23" s="105"/>
      <c r="N23" s="105"/>
      <c r="O23" s="106"/>
      <c r="P23" s="21" t="s">
        <v>29</v>
      </c>
      <c r="U23" s="7"/>
      <c r="V23" s="7"/>
      <c r="W23" s="7"/>
      <c r="X23" s="7"/>
      <c r="Y23" s="7"/>
    </row>
    <row r="24" spans="1:25" ht="14.45">
      <c r="A24" s="6"/>
      <c r="B24" s="110" t="s">
        <v>40</v>
      </c>
      <c r="C24" s="110"/>
      <c r="D24" s="110"/>
      <c r="E24" s="110"/>
      <c r="F24" s="110"/>
      <c r="G24" s="110"/>
      <c r="H24" s="110"/>
      <c r="I24" s="110"/>
      <c r="J24" s="110"/>
      <c r="K24" s="110"/>
      <c r="L24" s="110"/>
      <c r="M24" s="110"/>
      <c r="N24" s="110"/>
      <c r="O24" s="111"/>
      <c r="P24" s="19"/>
      <c r="U24" s="7"/>
      <c r="V24" s="7"/>
      <c r="W24" s="7"/>
      <c r="X24" s="7"/>
      <c r="Y24" s="7"/>
    </row>
    <row r="25" spans="1:25" ht="61.15" customHeight="1">
      <c r="A25" s="6"/>
      <c r="B25" s="15">
        <v>9</v>
      </c>
      <c r="C25" s="107" t="s">
        <v>41</v>
      </c>
      <c r="D25" s="107"/>
      <c r="E25" s="107"/>
      <c r="F25" s="107"/>
      <c r="G25" s="107"/>
      <c r="H25" s="16"/>
      <c r="I25" s="16"/>
      <c r="J25" s="16">
        <v>4</v>
      </c>
      <c r="K25" s="105"/>
      <c r="L25" s="105"/>
      <c r="M25" s="105"/>
      <c r="N25" s="105"/>
      <c r="O25" s="106"/>
      <c r="P25" s="21" t="s">
        <v>34</v>
      </c>
      <c r="U25" s="7"/>
      <c r="V25" s="7"/>
      <c r="W25" s="7"/>
      <c r="X25" s="7"/>
      <c r="Y25" s="7"/>
    </row>
    <row r="26" spans="1:25" ht="39.6" customHeight="1">
      <c r="A26" s="6"/>
      <c r="B26" s="15">
        <v>10</v>
      </c>
      <c r="C26" s="104" t="s">
        <v>42</v>
      </c>
      <c r="D26" s="104"/>
      <c r="E26" s="104"/>
      <c r="F26" s="104"/>
      <c r="G26" s="104"/>
      <c r="H26" s="16" t="s">
        <v>5</v>
      </c>
      <c r="I26" s="16"/>
      <c r="J26" s="16">
        <v>2</v>
      </c>
      <c r="K26" s="105"/>
      <c r="L26" s="105"/>
      <c r="M26" s="105"/>
      <c r="N26" s="105"/>
      <c r="O26" s="106"/>
      <c r="P26" s="21" t="s">
        <v>29</v>
      </c>
      <c r="U26" s="7"/>
      <c r="V26" s="7"/>
      <c r="W26" s="7"/>
      <c r="X26" s="7"/>
      <c r="Y26" s="7"/>
    </row>
    <row r="27" spans="1:25" ht="14.45">
      <c r="A27" s="6"/>
      <c r="B27" s="110" t="s">
        <v>43</v>
      </c>
      <c r="C27" s="110"/>
      <c r="D27" s="110"/>
      <c r="E27" s="110"/>
      <c r="F27" s="110"/>
      <c r="G27" s="110"/>
      <c r="H27" s="110"/>
      <c r="I27" s="110"/>
      <c r="J27" s="110"/>
      <c r="K27" s="110"/>
      <c r="L27" s="110"/>
      <c r="M27" s="110"/>
      <c r="N27" s="110"/>
      <c r="O27" s="111"/>
      <c r="P27" s="19"/>
      <c r="U27" s="7"/>
      <c r="V27" s="7"/>
      <c r="W27" s="7"/>
      <c r="X27" s="7"/>
      <c r="Y27" s="7"/>
    </row>
    <row r="28" spans="1:25" ht="38.65" customHeight="1">
      <c r="A28" s="6"/>
      <c r="B28" s="15">
        <v>11</v>
      </c>
      <c r="C28" s="107" t="s">
        <v>44</v>
      </c>
      <c r="D28" s="107"/>
      <c r="E28" s="107"/>
      <c r="F28" s="107"/>
      <c r="G28" s="107"/>
      <c r="H28" s="16" t="s">
        <v>8</v>
      </c>
      <c r="I28" s="16"/>
      <c r="J28" s="16">
        <v>2</v>
      </c>
      <c r="K28" s="105" t="s">
        <v>45</v>
      </c>
      <c r="L28" s="105"/>
      <c r="M28" s="105"/>
      <c r="N28" s="105"/>
      <c r="O28" s="106"/>
      <c r="P28" s="21" t="s">
        <v>29</v>
      </c>
      <c r="U28" s="7"/>
      <c r="V28" s="7"/>
      <c r="W28" s="7"/>
      <c r="X28" s="7"/>
      <c r="Y28" s="7"/>
    </row>
    <row r="29" spans="1:25" ht="42.6" customHeight="1">
      <c r="A29" s="6"/>
      <c r="B29" s="15">
        <v>12</v>
      </c>
      <c r="C29" s="107" t="s">
        <v>46</v>
      </c>
      <c r="D29" s="107"/>
      <c r="E29" s="107"/>
      <c r="F29" s="107"/>
      <c r="G29" s="107"/>
      <c r="H29" s="16" t="s">
        <v>5</v>
      </c>
      <c r="I29" s="16"/>
      <c r="J29" s="16">
        <v>2</v>
      </c>
      <c r="K29" s="105" t="s">
        <v>45</v>
      </c>
      <c r="L29" s="105"/>
      <c r="M29" s="105"/>
      <c r="N29" s="105"/>
      <c r="O29" s="106"/>
      <c r="P29" s="21" t="s">
        <v>29</v>
      </c>
      <c r="U29" s="7"/>
      <c r="V29" s="7"/>
      <c r="W29" s="7"/>
      <c r="X29" s="7"/>
      <c r="Y29" s="7"/>
    </row>
    <row r="30" spans="1:25" ht="14.45">
      <c r="A30" s="6"/>
      <c r="B30" s="110" t="s">
        <v>47</v>
      </c>
      <c r="C30" s="110"/>
      <c r="D30" s="110"/>
      <c r="E30" s="110"/>
      <c r="F30" s="110"/>
      <c r="G30" s="110"/>
      <c r="H30" s="110"/>
      <c r="I30" s="110"/>
      <c r="J30" s="110"/>
      <c r="K30" s="110"/>
      <c r="L30" s="110"/>
      <c r="M30" s="110"/>
      <c r="N30" s="110"/>
      <c r="O30" s="111"/>
      <c r="P30" s="19"/>
      <c r="U30" s="7"/>
      <c r="V30" s="7"/>
      <c r="W30" s="7"/>
      <c r="X30" s="7"/>
      <c r="Y30" s="7"/>
    </row>
    <row r="31" spans="1:25" ht="37.9" customHeight="1">
      <c r="A31" s="6"/>
      <c r="B31" s="15">
        <v>13</v>
      </c>
      <c r="C31" s="104" t="s">
        <v>48</v>
      </c>
      <c r="D31" s="104"/>
      <c r="E31" s="104"/>
      <c r="F31" s="104"/>
      <c r="G31" s="104"/>
      <c r="H31" s="16" t="s">
        <v>8</v>
      </c>
      <c r="I31" s="16"/>
      <c r="J31" s="16">
        <v>2</v>
      </c>
      <c r="K31" s="105" t="s">
        <v>45</v>
      </c>
      <c r="L31" s="105"/>
      <c r="M31" s="105"/>
      <c r="N31" s="105"/>
      <c r="O31" s="106"/>
      <c r="P31" s="21" t="s">
        <v>29</v>
      </c>
      <c r="U31" s="7"/>
      <c r="V31" s="7"/>
      <c r="W31" s="7"/>
      <c r="X31" s="7"/>
      <c r="Y31" s="7"/>
    </row>
    <row r="32" spans="1:25" ht="38.65" customHeight="1">
      <c r="A32" s="6"/>
      <c r="B32" s="15">
        <v>14</v>
      </c>
      <c r="C32" s="107" t="s">
        <v>49</v>
      </c>
      <c r="D32" s="107"/>
      <c r="E32" s="107"/>
      <c r="F32" s="107"/>
      <c r="G32" s="107"/>
      <c r="H32" s="16" t="s">
        <v>8</v>
      </c>
      <c r="I32" s="16"/>
      <c r="J32" s="16">
        <v>4</v>
      </c>
      <c r="K32" s="105" t="s">
        <v>45</v>
      </c>
      <c r="L32" s="105"/>
      <c r="M32" s="105"/>
      <c r="N32" s="105"/>
      <c r="O32" s="106"/>
      <c r="P32" s="21" t="s">
        <v>29</v>
      </c>
      <c r="U32" s="7"/>
      <c r="V32" s="7"/>
      <c r="W32" s="7"/>
      <c r="X32" s="7"/>
      <c r="Y32" s="7"/>
    </row>
    <row r="33" spans="1:25" ht="39" customHeight="1">
      <c r="B33" s="24"/>
      <c r="C33" s="95" t="s">
        <v>50</v>
      </c>
      <c r="D33" s="96"/>
      <c r="E33" s="96"/>
      <c r="F33" s="96"/>
      <c r="G33" s="97"/>
      <c r="H33" s="25"/>
      <c r="I33" s="26">
        <f>SUM(I14,I16:I19,I21:I23,I25:I26,I28:I29,I31:I32)</f>
        <v>0</v>
      </c>
      <c r="J33" s="26">
        <v>32</v>
      </c>
      <c r="K33" s="108"/>
      <c r="L33" s="108"/>
      <c r="M33" s="108"/>
      <c r="N33" s="108"/>
      <c r="O33" s="109"/>
      <c r="P33" s="42"/>
      <c r="U33" s="7"/>
      <c r="V33" s="7"/>
      <c r="W33" s="7"/>
      <c r="X33" s="7"/>
      <c r="Y33" s="7"/>
    </row>
    <row r="34" spans="1:25" ht="31.9" customHeight="1">
      <c r="A34" s="6"/>
      <c r="B34" s="27"/>
      <c r="C34" s="100" t="s">
        <v>51</v>
      </c>
      <c r="D34" s="101"/>
      <c r="E34" s="101"/>
      <c r="F34" s="101"/>
      <c r="G34" s="101"/>
      <c r="H34" s="101"/>
      <c r="I34" s="101"/>
      <c r="J34" s="101"/>
      <c r="K34" s="101"/>
      <c r="L34" s="101"/>
      <c r="M34" s="101"/>
      <c r="N34" s="101"/>
      <c r="O34" s="101"/>
      <c r="P34" s="43"/>
      <c r="U34" s="7"/>
      <c r="V34" s="7"/>
      <c r="W34" s="7"/>
      <c r="X34" s="7"/>
      <c r="Y34" s="7"/>
    </row>
    <row r="35" spans="1:25" ht="138" customHeight="1">
      <c r="A35" s="6"/>
      <c r="B35" s="27"/>
      <c r="C35" s="87" t="s">
        <v>52</v>
      </c>
      <c r="D35" s="87"/>
      <c r="E35" s="87"/>
      <c r="F35" s="87"/>
      <c r="G35" s="87"/>
      <c r="H35" s="88" t="s">
        <v>53</v>
      </c>
      <c r="I35" s="88"/>
      <c r="J35" s="88"/>
      <c r="K35" s="88"/>
      <c r="L35" s="102"/>
      <c r="M35" s="102"/>
      <c r="N35" s="102"/>
      <c r="O35" s="103"/>
      <c r="P35" s="44"/>
      <c r="U35" s="7"/>
      <c r="V35" s="7"/>
      <c r="W35" s="7"/>
      <c r="X35" s="7"/>
      <c r="Y35" s="7"/>
    </row>
    <row r="36" spans="1:25" ht="102" customHeight="1">
      <c r="A36" s="6"/>
      <c r="B36" s="27"/>
      <c r="C36" s="87" t="s">
        <v>54</v>
      </c>
      <c r="D36" s="87"/>
      <c r="E36" s="87"/>
      <c r="F36" s="87"/>
      <c r="G36" s="87"/>
      <c r="H36" s="88" t="s">
        <v>55</v>
      </c>
      <c r="I36" s="88"/>
      <c r="J36" s="88"/>
      <c r="K36" s="88"/>
      <c r="L36" s="102"/>
      <c r="M36" s="102"/>
      <c r="N36" s="102"/>
      <c r="O36" s="103"/>
      <c r="P36" s="44"/>
      <c r="U36" s="7"/>
      <c r="V36" s="7"/>
      <c r="W36" s="7"/>
      <c r="X36" s="7"/>
      <c r="Y36" s="7"/>
    </row>
    <row r="37" spans="1:25" ht="51" customHeight="1">
      <c r="A37" s="5"/>
      <c r="B37" s="24"/>
      <c r="C37" s="95" t="s">
        <v>56</v>
      </c>
      <c r="D37" s="96"/>
      <c r="E37" s="96"/>
      <c r="F37" s="96"/>
      <c r="G37" s="97"/>
      <c r="H37" s="98" t="s">
        <v>57</v>
      </c>
      <c r="I37" s="99"/>
      <c r="J37" s="99"/>
      <c r="K37" s="99"/>
      <c r="L37" s="99" t="s">
        <v>58</v>
      </c>
      <c r="M37" s="99"/>
      <c r="N37" s="99"/>
      <c r="O37" s="99"/>
      <c r="P37" s="45"/>
      <c r="U37" s="7"/>
      <c r="V37" s="7"/>
      <c r="W37" s="7"/>
      <c r="X37" s="7"/>
      <c r="Y37" s="7"/>
    </row>
    <row r="38" spans="1:25" ht="108" customHeight="1">
      <c r="A38" s="5"/>
      <c r="B38" s="27" t="s">
        <v>59</v>
      </c>
      <c r="C38" s="87" t="s">
        <v>60</v>
      </c>
      <c r="D38" s="87"/>
      <c r="E38" s="87"/>
      <c r="F38" s="87"/>
      <c r="G38" s="87"/>
      <c r="H38" s="88" t="s">
        <v>61</v>
      </c>
      <c r="I38" s="88"/>
      <c r="J38" s="88"/>
      <c r="K38" s="88"/>
      <c r="L38" s="92" t="s">
        <v>62</v>
      </c>
      <c r="M38" s="93"/>
      <c r="N38" s="93"/>
      <c r="O38" s="94"/>
      <c r="P38" s="7"/>
      <c r="U38" s="7"/>
      <c r="V38" s="7"/>
      <c r="W38" s="7"/>
      <c r="X38" s="7"/>
      <c r="Y38" s="7"/>
    </row>
    <row r="39" spans="1:25" ht="90.95" customHeight="1">
      <c r="A39" s="5"/>
      <c r="B39" s="27" t="s">
        <v>63</v>
      </c>
      <c r="C39" s="87" t="s">
        <v>64</v>
      </c>
      <c r="D39" s="87"/>
      <c r="E39" s="87"/>
      <c r="F39" s="87"/>
      <c r="G39" s="87"/>
      <c r="H39" s="88" t="s">
        <v>65</v>
      </c>
      <c r="I39" s="88"/>
      <c r="J39" s="88"/>
      <c r="K39" s="88"/>
      <c r="L39" s="92" t="s">
        <v>66</v>
      </c>
      <c r="M39" s="93"/>
      <c r="N39" s="93"/>
      <c r="O39" s="94"/>
      <c r="P39" s="7"/>
      <c r="U39" s="7"/>
      <c r="V39" s="7"/>
      <c r="W39" s="7"/>
      <c r="X39" s="7"/>
      <c r="Y39" s="7"/>
    </row>
    <row r="40" spans="1:25" ht="80.45" customHeight="1">
      <c r="A40" s="5"/>
      <c r="B40" s="27" t="s">
        <v>67</v>
      </c>
      <c r="C40" s="87" t="s">
        <v>68</v>
      </c>
      <c r="D40" s="87"/>
      <c r="E40" s="87"/>
      <c r="F40" s="87"/>
      <c r="G40" s="87"/>
      <c r="H40" s="88" t="s">
        <v>69</v>
      </c>
      <c r="I40" s="88"/>
      <c r="J40" s="88"/>
      <c r="K40" s="88"/>
      <c r="L40" s="92" t="s">
        <v>70</v>
      </c>
      <c r="M40" s="93"/>
      <c r="N40" s="93"/>
      <c r="O40" s="94"/>
      <c r="P40" s="7"/>
      <c r="U40" s="7"/>
      <c r="V40" s="7"/>
      <c r="W40" s="7"/>
      <c r="X40" s="7"/>
      <c r="Y40" s="7"/>
    </row>
    <row r="41" spans="1:25" ht="51.95">
      <c r="A41" s="5"/>
      <c r="B41" s="27" t="s">
        <v>71</v>
      </c>
      <c r="C41" s="87" t="s">
        <v>72</v>
      </c>
      <c r="D41" s="87"/>
      <c r="E41" s="87"/>
      <c r="F41" s="87"/>
      <c r="G41" s="87"/>
      <c r="H41" s="88" t="s">
        <v>73</v>
      </c>
      <c r="I41" s="88"/>
      <c r="J41" s="88"/>
      <c r="K41" s="88"/>
      <c r="L41" s="92" t="s">
        <v>74</v>
      </c>
      <c r="M41" s="93"/>
      <c r="N41" s="93"/>
      <c r="O41" s="94"/>
      <c r="P41" s="7"/>
      <c r="U41" s="7"/>
      <c r="V41" s="7"/>
      <c r="W41" s="7"/>
      <c r="X41" s="7"/>
      <c r="Y41" s="7"/>
    </row>
    <row r="42" spans="1:25">
      <c r="A42" s="5"/>
      <c r="B42" s="27"/>
      <c r="C42" s="87"/>
      <c r="D42" s="87"/>
      <c r="E42" s="87"/>
      <c r="F42" s="87"/>
      <c r="G42" s="87"/>
      <c r="H42" s="88"/>
      <c r="I42" s="88"/>
      <c r="J42" s="88"/>
      <c r="K42" s="88"/>
      <c r="L42" s="89"/>
      <c r="M42" s="90"/>
      <c r="N42" s="90"/>
      <c r="O42" s="91"/>
      <c r="P42" s="7"/>
      <c r="U42" s="7"/>
      <c r="V42" s="7"/>
      <c r="W42" s="7"/>
      <c r="X42" s="7"/>
      <c r="Y42" s="7"/>
    </row>
    <row r="43" spans="1:25">
      <c r="A43" s="5"/>
      <c r="B43" s="27"/>
      <c r="C43" s="87"/>
      <c r="D43" s="87"/>
      <c r="E43" s="87"/>
      <c r="F43" s="87"/>
      <c r="G43" s="87"/>
      <c r="H43" s="88"/>
      <c r="I43" s="88"/>
      <c r="J43" s="88"/>
      <c r="K43" s="88"/>
      <c r="L43" s="89"/>
      <c r="M43" s="90"/>
      <c r="N43" s="90"/>
      <c r="O43" s="91"/>
      <c r="P43" s="7"/>
      <c r="U43" s="7"/>
      <c r="V43" s="7"/>
      <c r="W43" s="7"/>
      <c r="X43" s="7"/>
      <c r="Y43" s="7"/>
    </row>
    <row r="44" spans="1:25">
      <c r="A44" s="5"/>
      <c r="B44" s="27"/>
      <c r="C44" s="87"/>
      <c r="D44" s="87"/>
      <c r="E44" s="87"/>
      <c r="F44" s="87"/>
      <c r="G44" s="87"/>
      <c r="H44" s="88"/>
      <c r="I44" s="88"/>
      <c r="J44" s="88"/>
      <c r="K44" s="88"/>
      <c r="L44" s="89"/>
      <c r="M44" s="90"/>
      <c r="N44" s="90"/>
      <c r="O44" s="91"/>
      <c r="P44" s="7"/>
      <c r="U44" s="7"/>
      <c r="V44" s="7"/>
      <c r="W44" s="7"/>
      <c r="X44" s="7"/>
      <c r="Y44" s="7"/>
    </row>
    <row r="45" spans="1:25">
      <c r="A45" s="5"/>
      <c r="B45" s="27"/>
      <c r="C45" s="87"/>
      <c r="D45" s="87"/>
      <c r="E45" s="87"/>
      <c r="F45" s="87"/>
      <c r="G45" s="87"/>
      <c r="H45" s="88"/>
      <c r="I45" s="88"/>
      <c r="J45" s="88"/>
      <c r="K45" s="88"/>
      <c r="L45" s="89"/>
      <c r="M45" s="90"/>
      <c r="N45" s="90"/>
      <c r="O45" s="91"/>
      <c r="P45" s="7"/>
      <c r="U45" s="7"/>
      <c r="V45" s="7"/>
      <c r="W45" s="7"/>
      <c r="X45" s="7"/>
      <c r="Y45" s="7"/>
    </row>
    <row r="46" spans="1:25">
      <c r="A46" s="5"/>
      <c r="B46" s="7"/>
      <c r="C46" s="7"/>
      <c r="D46" s="7"/>
      <c r="E46" s="7"/>
      <c r="F46" s="7"/>
      <c r="G46" s="7"/>
      <c r="H46" s="7"/>
      <c r="I46" s="7"/>
      <c r="J46" s="7"/>
      <c r="K46" s="7"/>
      <c r="L46" s="7"/>
      <c r="M46" s="7"/>
      <c r="N46" s="7"/>
      <c r="O46" s="7"/>
      <c r="P46" s="7"/>
    </row>
  </sheetData>
  <mergeCells count="96">
    <mergeCell ref="B2:O2"/>
    <mergeCell ref="B3:O3"/>
    <mergeCell ref="B4:F4"/>
    <mergeCell ref="G4:O4"/>
    <mergeCell ref="B5:C5"/>
    <mergeCell ref="D5:F5"/>
    <mergeCell ref="G5:H5"/>
    <mergeCell ref="J5:O5"/>
    <mergeCell ref="B6:C6"/>
    <mergeCell ref="D6:F6"/>
    <mergeCell ref="G6:H6"/>
    <mergeCell ref="J6:O6"/>
    <mergeCell ref="B7:C7"/>
    <mergeCell ref="D7:F7"/>
    <mergeCell ref="G7:H9"/>
    <mergeCell ref="I7:I9"/>
    <mergeCell ref="J7:O9"/>
    <mergeCell ref="B8:C8"/>
    <mergeCell ref="B15:O15"/>
    <mergeCell ref="D8:F8"/>
    <mergeCell ref="B9:C9"/>
    <mergeCell ref="D9:F9"/>
    <mergeCell ref="B10:C10"/>
    <mergeCell ref="D10:O10"/>
    <mergeCell ref="B11:O11"/>
    <mergeCell ref="B12:G12"/>
    <mergeCell ref="K12:O12"/>
    <mergeCell ref="B13:O13"/>
    <mergeCell ref="C14:G14"/>
    <mergeCell ref="K14:O14"/>
    <mergeCell ref="C22:G22"/>
    <mergeCell ref="K22:O22"/>
    <mergeCell ref="C16:G16"/>
    <mergeCell ref="K16:O16"/>
    <mergeCell ref="C17:G17"/>
    <mergeCell ref="K17:O17"/>
    <mergeCell ref="C18:G18"/>
    <mergeCell ref="K18:O18"/>
    <mergeCell ref="C19:G19"/>
    <mergeCell ref="K19:O19"/>
    <mergeCell ref="B20:O20"/>
    <mergeCell ref="C21:G21"/>
    <mergeCell ref="K21:O21"/>
    <mergeCell ref="B30:O30"/>
    <mergeCell ref="C23:G23"/>
    <mergeCell ref="K23:O23"/>
    <mergeCell ref="B24:O24"/>
    <mergeCell ref="C25:G25"/>
    <mergeCell ref="K25:O25"/>
    <mergeCell ref="C26:G26"/>
    <mergeCell ref="K26:O26"/>
    <mergeCell ref="B27:O27"/>
    <mergeCell ref="C28:G28"/>
    <mergeCell ref="K28:O28"/>
    <mergeCell ref="C29:G29"/>
    <mergeCell ref="K29:O29"/>
    <mergeCell ref="C31:G31"/>
    <mergeCell ref="K31:O31"/>
    <mergeCell ref="C32:G32"/>
    <mergeCell ref="K32:O32"/>
    <mergeCell ref="C33:G33"/>
    <mergeCell ref="K33:O33"/>
    <mergeCell ref="C34:O34"/>
    <mergeCell ref="C35:G35"/>
    <mergeCell ref="H35:K35"/>
    <mergeCell ref="L35:O35"/>
    <mergeCell ref="C36:G36"/>
    <mergeCell ref="H36:K36"/>
    <mergeCell ref="L36:O36"/>
    <mergeCell ref="C37:G37"/>
    <mergeCell ref="H37:K37"/>
    <mergeCell ref="L37:O37"/>
    <mergeCell ref="C38:G38"/>
    <mergeCell ref="H38:K38"/>
    <mergeCell ref="L38:O38"/>
    <mergeCell ref="C39:G39"/>
    <mergeCell ref="H39:K39"/>
    <mergeCell ref="L39:O39"/>
    <mergeCell ref="C40:G40"/>
    <mergeCell ref="H40:K40"/>
    <mergeCell ref="L40:O40"/>
    <mergeCell ref="C41:G41"/>
    <mergeCell ref="H41:K41"/>
    <mergeCell ref="L41:O41"/>
    <mergeCell ref="C42:G42"/>
    <mergeCell ref="H42:K42"/>
    <mergeCell ref="L42:O42"/>
    <mergeCell ref="C45:G45"/>
    <mergeCell ref="H45:K45"/>
    <mergeCell ref="L45:O45"/>
    <mergeCell ref="C43:G43"/>
    <mergeCell ref="H43:K43"/>
    <mergeCell ref="L43:O43"/>
    <mergeCell ref="C44:G44"/>
    <mergeCell ref="H44:K44"/>
    <mergeCell ref="L44:O44"/>
  </mergeCells>
  <dataValidations count="1">
    <dataValidation type="list" allowBlank="1" showInputMessage="1" showErrorMessage="1" sqref="H14 H31:H32 H28:H29 H25:H26 H21:H23 H16:H19" xr:uid="{6ADC7AAE-59A2-4318-B79B-FBFFFB46C4D1}">
      <formula1>$S$4:$S$5</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A3DB9-8F7A-42A0-A6C8-547540E91484}">
  <sheetPr>
    <outlinePr summaryBelow="0" summaryRight="0"/>
  </sheetPr>
  <dimension ref="A1:Z989"/>
  <sheetViews>
    <sheetView topLeftCell="A2" zoomScale="90" zoomScaleNormal="90" workbookViewId="0">
      <selection activeCell="I13" sqref="I13"/>
    </sheetView>
  </sheetViews>
  <sheetFormatPr defaultColWidth="15.140625" defaultRowHeight="15" customHeight="1"/>
  <cols>
    <col min="1" max="1" width="7" style="50" customWidth="1"/>
    <col min="2" max="2" width="6.42578125" style="50" customWidth="1"/>
    <col min="3" max="3" width="32" style="50" customWidth="1"/>
    <col min="4" max="5" width="15.140625" style="50"/>
    <col min="6" max="6" width="19.85546875" style="50" customWidth="1"/>
    <col min="7" max="7" width="15.140625" style="50"/>
    <col min="8" max="8" width="25.28515625" style="50" customWidth="1"/>
    <col min="9" max="16384" width="15.140625" style="50"/>
  </cols>
  <sheetData>
    <row r="1" spans="1:26" ht="12.95">
      <c r="A1" s="47"/>
      <c r="B1" s="47"/>
      <c r="C1" s="47"/>
      <c r="D1" s="47"/>
      <c r="E1" s="47"/>
      <c r="F1" s="47"/>
      <c r="G1" s="47"/>
      <c r="H1" s="47"/>
      <c r="I1" s="48"/>
      <c r="J1" s="48"/>
      <c r="K1" s="48"/>
      <c r="L1" s="48"/>
      <c r="M1" s="48"/>
      <c r="N1" s="48"/>
      <c r="O1" s="48"/>
      <c r="P1" s="48"/>
      <c r="Q1" s="48"/>
      <c r="R1" s="48"/>
      <c r="S1" s="48"/>
      <c r="T1" s="48"/>
      <c r="U1" s="49"/>
      <c r="V1" s="49"/>
      <c r="W1" s="49"/>
      <c r="X1" s="49"/>
      <c r="Y1" s="49"/>
      <c r="Z1" s="49"/>
    </row>
    <row r="2" spans="1:26" ht="33" customHeight="1">
      <c r="A2" s="137" t="s">
        <v>75</v>
      </c>
      <c r="B2" s="161"/>
      <c r="C2" s="161"/>
      <c r="D2" s="161"/>
      <c r="E2" s="161"/>
      <c r="F2" s="161"/>
      <c r="G2" s="161"/>
      <c r="H2" s="161"/>
      <c r="I2" s="51"/>
      <c r="J2" s="51"/>
      <c r="K2" s="51"/>
      <c r="L2" s="51"/>
      <c r="M2" s="51"/>
      <c r="N2" s="51"/>
      <c r="O2" s="51"/>
      <c r="P2" s="51"/>
      <c r="Q2" s="51"/>
      <c r="R2" s="51"/>
      <c r="S2" s="51"/>
      <c r="T2" s="51"/>
      <c r="U2" s="52"/>
      <c r="V2" s="52"/>
      <c r="W2" s="52"/>
      <c r="X2" s="52"/>
      <c r="Y2" s="52"/>
      <c r="Z2" s="52"/>
    </row>
    <row r="3" spans="1:26" ht="12.95">
      <c r="A3" s="53"/>
      <c r="B3" s="54"/>
      <c r="C3" s="54"/>
      <c r="D3" s="53"/>
      <c r="E3" s="53"/>
      <c r="F3" s="53"/>
      <c r="G3" s="53"/>
      <c r="H3" s="55"/>
      <c r="I3" s="48"/>
      <c r="J3" s="48"/>
      <c r="K3" s="48"/>
      <c r="L3" s="48"/>
      <c r="M3" s="48"/>
      <c r="N3" s="48"/>
      <c r="O3" s="48"/>
      <c r="P3" s="48"/>
      <c r="Q3" s="48"/>
      <c r="R3" s="48"/>
      <c r="S3" s="48"/>
      <c r="T3" s="48"/>
      <c r="U3" s="49"/>
      <c r="V3" s="49"/>
      <c r="W3" s="49"/>
      <c r="X3" s="49"/>
      <c r="Y3" s="49"/>
      <c r="Z3" s="49"/>
    </row>
    <row r="4" spans="1:26" ht="45.6">
      <c r="A4" s="55"/>
      <c r="B4" s="138"/>
      <c r="C4" s="162"/>
      <c r="D4" s="139" t="s">
        <v>76</v>
      </c>
      <c r="E4" s="140"/>
      <c r="F4" s="140"/>
      <c r="G4" s="140"/>
      <c r="H4" s="141"/>
      <c r="I4" s="48"/>
      <c r="J4" s="48"/>
      <c r="K4" s="48"/>
      <c r="L4" s="48"/>
      <c r="M4" s="48"/>
      <c r="N4" s="48"/>
      <c r="O4" s="48"/>
      <c r="P4" s="48"/>
      <c r="Q4" s="48"/>
      <c r="R4" s="48"/>
      <c r="S4" s="48"/>
      <c r="T4" s="48"/>
      <c r="U4" s="49"/>
      <c r="V4" s="49"/>
      <c r="W4" s="49"/>
      <c r="X4" s="49"/>
      <c r="Y4" s="49"/>
      <c r="Z4" s="49"/>
    </row>
    <row r="5" spans="1:26" ht="12.95">
      <c r="A5" s="55"/>
      <c r="B5" s="163"/>
      <c r="C5" s="164"/>
      <c r="D5" s="56"/>
      <c r="E5" s="57"/>
      <c r="F5" s="57"/>
      <c r="G5" s="57"/>
      <c r="H5" s="58"/>
      <c r="I5" s="48"/>
      <c r="J5" s="48"/>
      <c r="K5" s="48"/>
      <c r="L5" s="48"/>
      <c r="M5" s="48"/>
      <c r="N5" s="48"/>
      <c r="O5" s="48"/>
      <c r="P5" s="48"/>
      <c r="Q5" s="48"/>
      <c r="R5" s="48"/>
      <c r="S5" s="48"/>
      <c r="T5" s="48"/>
      <c r="U5" s="49"/>
      <c r="V5" s="49"/>
      <c r="W5" s="49"/>
      <c r="X5" s="49"/>
      <c r="Y5" s="49"/>
      <c r="Z5" s="49"/>
    </row>
    <row r="6" spans="1:26" ht="23.1">
      <c r="A6" s="55"/>
      <c r="B6" s="165"/>
      <c r="C6" s="166"/>
      <c r="D6" s="142"/>
      <c r="E6" s="143"/>
      <c r="F6" s="143"/>
      <c r="G6" s="144"/>
      <c r="H6" s="58"/>
      <c r="I6" s="48"/>
      <c r="J6" s="48"/>
      <c r="K6" s="48"/>
      <c r="L6" s="48"/>
      <c r="M6" s="48"/>
      <c r="N6" s="48"/>
      <c r="O6" s="48"/>
      <c r="P6" s="48"/>
      <c r="Q6" s="48"/>
      <c r="R6" s="48"/>
      <c r="S6" s="48"/>
      <c r="T6" s="48"/>
      <c r="U6" s="49"/>
      <c r="V6" s="49"/>
      <c r="W6" s="49"/>
      <c r="X6" s="49"/>
      <c r="Y6" s="49"/>
      <c r="Z6" s="49"/>
    </row>
    <row r="7" spans="1:26" ht="12.95">
      <c r="A7" s="55"/>
      <c r="B7" s="59"/>
      <c r="C7" s="59"/>
      <c r="D7" s="145" t="s">
        <v>77</v>
      </c>
      <c r="E7" s="146"/>
      <c r="F7" s="146"/>
      <c r="G7" s="147"/>
      <c r="H7" s="58"/>
      <c r="I7" s="48"/>
      <c r="J7" s="48"/>
      <c r="K7" s="48"/>
      <c r="L7" s="48"/>
      <c r="M7" s="48"/>
      <c r="N7" s="48"/>
      <c r="O7" s="48"/>
      <c r="P7" s="48"/>
      <c r="Q7" s="48"/>
      <c r="R7" s="48"/>
      <c r="S7" s="48"/>
      <c r="T7" s="48"/>
      <c r="U7" s="49"/>
      <c r="V7" s="49"/>
      <c r="W7" s="49"/>
      <c r="X7" s="49"/>
      <c r="Y7" s="49"/>
      <c r="Z7" s="49"/>
    </row>
    <row r="8" spans="1:26" ht="12.95">
      <c r="A8" s="53"/>
      <c r="B8" s="53"/>
      <c r="C8" s="53"/>
      <c r="D8" s="60"/>
      <c r="E8" s="60"/>
      <c r="F8" s="60"/>
      <c r="G8" s="60"/>
      <c r="H8" s="61"/>
      <c r="I8" s="48"/>
      <c r="J8" s="48"/>
      <c r="K8" s="48"/>
      <c r="L8" s="48"/>
      <c r="M8" s="48"/>
      <c r="N8" s="48"/>
      <c r="O8" s="48"/>
      <c r="P8" s="48"/>
      <c r="Q8" s="48"/>
      <c r="R8" s="48"/>
      <c r="S8" s="48"/>
      <c r="T8" s="48"/>
      <c r="U8" s="49"/>
      <c r="V8" s="49"/>
      <c r="W8" s="49"/>
      <c r="X8" s="49"/>
      <c r="Y8" s="49"/>
      <c r="Z8" s="49"/>
    </row>
    <row r="9" spans="1:26" ht="48.75" customHeight="1">
      <c r="A9" s="148" t="s">
        <v>78</v>
      </c>
      <c r="B9" s="167"/>
      <c r="C9" s="167"/>
      <c r="D9" s="167"/>
      <c r="E9" s="167"/>
      <c r="F9" s="167"/>
      <c r="G9" s="167"/>
      <c r="H9" s="167"/>
      <c r="I9" s="51"/>
      <c r="J9" s="51"/>
      <c r="K9" s="51"/>
      <c r="L9" s="51"/>
      <c r="M9" s="51"/>
      <c r="N9" s="51"/>
      <c r="O9" s="51"/>
      <c r="P9" s="51"/>
      <c r="Q9" s="51"/>
      <c r="R9" s="51"/>
      <c r="S9" s="51"/>
      <c r="T9" s="51"/>
      <c r="U9" s="52"/>
      <c r="V9" s="52"/>
      <c r="W9" s="52"/>
      <c r="X9" s="52"/>
      <c r="Y9" s="52"/>
      <c r="Z9" s="52"/>
    </row>
    <row r="10" spans="1:26" ht="25.5" customHeight="1">
      <c r="A10" s="134" t="s">
        <v>79</v>
      </c>
      <c r="B10" s="134"/>
      <c r="C10" s="134"/>
      <c r="D10" s="134"/>
      <c r="E10" s="134"/>
      <c r="F10" s="134"/>
      <c r="G10" s="134"/>
      <c r="H10" s="134"/>
      <c r="I10" s="51"/>
      <c r="J10" s="51"/>
      <c r="K10" s="51"/>
      <c r="L10" s="51"/>
      <c r="M10" s="51"/>
      <c r="N10" s="51"/>
      <c r="O10" s="51"/>
      <c r="P10" s="51"/>
      <c r="Q10" s="51"/>
      <c r="R10" s="51"/>
      <c r="S10" s="51"/>
      <c r="T10" s="51"/>
      <c r="U10" s="52"/>
      <c r="V10" s="52"/>
      <c r="W10" s="52"/>
      <c r="X10" s="52"/>
      <c r="Y10" s="52"/>
      <c r="Z10" s="52"/>
    </row>
    <row r="11" spans="1:26" ht="15.6">
      <c r="A11" s="62"/>
      <c r="B11" s="63"/>
      <c r="C11" s="63"/>
      <c r="D11" s="63"/>
      <c r="E11" s="62"/>
      <c r="F11" s="62"/>
      <c r="G11" s="62"/>
      <c r="H11" s="62"/>
      <c r="I11" s="48"/>
      <c r="J11" s="48"/>
      <c r="K11" s="48"/>
      <c r="L11" s="48"/>
      <c r="M11" s="48"/>
      <c r="N11" s="48"/>
      <c r="O11" s="48"/>
      <c r="P11" s="48"/>
      <c r="Q11" s="48"/>
      <c r="R11" s="48"/>
      <c r="S11" s="48"/>
      <c r="T11" s="48"/>
      <c r="U11" s="49"/>
      <c r="V11" s="49"/>
      <c r="W11" s="49"/>
      <c r="X11" s="49"/>
      <c r="Y11" s="49"/>
      <c r="Z11" s="49"/>
    </row>
    <row r="12" spans="1:26" ht="12.95">
      <c r="A12" s="62"/>
      <c r="B12" s="64"/>
      <c r="C12" s="65" t="s">
        <v>80</v>
      </c>
      <c r="D12" s="168" t="s">
        <v>81</v>
      </c>
      <c r="E12" s="169"/>
      <c r="F12" s="169"/>
      <c r="G12" s="170"/>
      <c r="H12" s="66"/>
      <c r="I12" s="48"/>
      <c r="J12" s="48"/>
      <c r="K12" s="48"/>
      <c r="L12" s="48"/>
      <c r="M12" s="48"/>
      <c r="N12" s="48"/>
      <c r="O12" s="48"/>
      <c r="P12" s="48"/>
      <c r="Q12" s="48"/>
      <c r="R12" s="48"/>
      <c r="S12" s="48"/>
      <c r="T12" s="48"/>
      <c r="U12" s="49"/>
      <c r="V12" s="49"/>
      <c r="W12" s="49"/>
      <c r="X12" s="49"/>
      <c r="Y12" s="49"/>
      <c r="Z12" s="49"/>
    </row>
    <row r="13" spans="1:26" ht="103.5" customHeight="1">
      <c r="A13" s="67"/>
      <c r="B13" s="73">
        <v>1</v>
      </c>
      <c r="C13" s="83" t="s">
        <v>82</v>
      </c>
      <c r="D13" s="135" t="s">
        <v>83</v>
      </c>
      <c r="E13" s="135"/>
      <c r="F13" s="135"/>
      <c r="G13" s="135"/>
      <c r="H13" s="136"/>
      <c r="I13" s="51"/>
      <c r="J13" s="51"/>
      <c r="K13" s="51"/>
      <c r="L13" s="51"/>
      <c r="M13" s="51"/>
      <c r="N13" s="51"/>
      <c r="O13" s="51"/>
      <c r="P13" s="51"/>
      <c r="Q13" s="51"/>
      <c r="R13" s="51"/>
      <c r="S13" s="51"/>
      <c r="T13" s="51"/>
      <c r="U13" s="52"/>
      <c r="V13" s="52"/>
      <c r="W13" s="52"/>
      <c r="X13" s="52"/>
      <c r="Y13" s="52"/>
      <c r="Z13" s="52"/>
    </row>
    <row r="14" spans="1:26" ht="87" customHeight="1">
      <c r="A14" s="67"/>
      <c r="B14" s="74">
        <v>2</v>
      </c>
      <c r="C14" s="83" t="s">
        <v>84</v>
      </c>
      <c r="D14" s="135" t="s">
        <v>85</v>
      </c>
      <c r="E14" s="135"/>
      <c r="F14" s="135"/>
      <c r="G14" s="135"/>
      <c r="H14" s="136"/>
      <c r="I14" s="51"/>
      <c r="J14" s="51"/>
      <c r="K14" s="51"/>
      <c r="L14" s="51"/>
      <c r="M14" s="51"/>
      <c r="N14" s="51"/>
      <c r="O14" s="51"/>
      <c r="P14" s="51"/>
      <c r="Q14" s="51"/>
      <c r="R14" s="51"/>
      <c r="S14" s="51"/>
      <c r="T14" s="51"/>
      <c r="U14" s="52"/>
      <c r="V14" s="52"/>
      <c r="W14" s="52"/>
      <c r="X14" s="52"/>
      <c r="Y14" s="52"/>
      <c r="Z14" s="52"/>
    </row>
    <row r="15" spans="1:26" ht="12.95">
      <c r="A15" s="62"/>
      <c r="B15" s="68"/>
      <c r="C15" s="59"/>
      <c r="D15" s="59"/>
      <c r="E15" s="62"/>
      <c r="F15" s="62"/>
      <c r="G15" s="62"/>
      <c r="H15" s="62"/>
      <c r="I15" s="48"/>
      <c r="J15" s="48"/>
      <c r="K15" s="48"/>
      <c r="L15" s="48"/>
      <c r="M15" s="48"/>
      <c r="N15" s="48"/>
      <c r="O15" s="48"/>
      <c r="P15" s="48"/>
      <c r="Q15" s="48"/>
      <c r="R15" s="48"/>
      <c r="S15" s="48"/>
      <c r="T15" s="48"/>
      <c r="U15" s="49"/>
      <c r="V15" s="49"/>
      <c r="W15" s="49"/>
      <c r="X15" s="49"/>
      <c r="Y15" s="49"/>
      <c r="Z15" s="49"/>
    </row>
    <row r="16" spans="1:26" ht="12.95">
      <c r="A16" s="48"/>
      <c r="B16" s="48"/>
      <c r="C16" s="48"/>
      <c r="D16" s="48"/>
      <c r="E16" s="48"/>
      <c r="F16" s="48"/>
      <c r="G16" s="48"/>
      <c r="H16" s="48"/>
      <c r="I16" s="48"/>
      <c r="J16" s="48"/>
      <c r="K16" s="48"/>
      <c r="L16" s="48"/>
      <c r="M16" s="48"/>
      <c r="N16" s="48"/>
      <c r="O16" s="48"/>
      <c r="P16" s="48"/>
      <c r="Q16" s="48"/>
      <c r="R16" s="48"/>
      <c r="S16" s="48"/>
      <c r="T16" s="48"/>
      <c r="U16" s="49"/>
      <c r="V16" s="49"/>
      <c r="W16" s="49"/>
      <c r="X16" s="49"/>
      <c r="Y16" s="49"/>
      <c r="Z16" s="49"/>
    </row>
    <row r="17" spans="1:26" ht="12.95">
      <c r="A17" s="48"/>
      <c r="B17" s="48"/>
      <c r="C17" s="48"/>
      <c r="D17" s="48"/>
      <c r="E17" s="48"/>
      <c r="F17" s="48"/>
      <c r="G17" s="48"/>
      <c r="H17" s="48"/>
      <c r="I17" s="48"/>
      <c r="J17" s="48"/>
      <c r="K17" s="48"/>
      <c r="L17" s="48"/>
      <c r="M17" s="48"/>
      <c r="N17" s="48"/>
      <c r="O17" s="48"/>
      <c r="P17" s="48"/>
      <c r="Q17" s="48"/>
      <c r="R17" s="48"/>
      <c r="S17" s="48"/>
      <c r="T17" s="48"/>
      <c r="U17" s="49"/>
      <c r="V17" s="49"/>
      <c r="W17" s="49"/>
      <c r="X17" s="49"/>
      <c r="Y17" s="49"/>
      <c r="Z17" s="49"/>
    </row>
    <row r="18" spans="1:26" ht="12.95">
      <c r="A18" s="48"/>
      <c r="B18" s="48"/>
      <c r="C18" s="48"/>
      <c r="D18" s="48"/>
      <c r="E18" s="48"/>
      <c r="F18" s="48"/>
      <c r="G18" s="48"/>
      <c r="H18" s="48"/>
      <c r="I18" s="48"/>
      <c r="J18" s="48"/>
      <c r="K18" s="48"/>
      <c r="L18" s="48"/>
      <c r="M18" s="48"/>
      <c r="N18" s="48"/>
      <c r="O18" s="48"/>
      <c r="P18" s="48"/>
      <c r="Q18" s="48"/>
      <c r="R18" s="48"/>
      <c r="S18" s="48"/>
      <c r="T18" s="48"/>
      <c r="U18" s="49"/>
      <c r="V18" s="49"/>
      <c r="W18" s="49"/>
      <c r="X18" s="49"/>
      <c r="Y18" s="49"/>
      <c r="Z18" s="49"/>
    </row>
    <row r="19" spans="1:26" ht="12.95">
      <c r="A19" s="48"/>
      <c r="B19" s="48"/>
      <c r="C19" s="48"/>
      <c r="D19" s="48"/>
      <c r="E19" s="48"/>
      <c r="F19" s="48"/>
      <c r="G19" s="48"/>
      <c r="H19" s="48"/>
      <c r="I19" s="48"/>
      <c r="J19" s="48"/>
      <c r="K19" s="48"/>
      <c r="L19" s="48"/>
      <c r="M19" s="48"/>
      <c r="N19" s="48"/>
      <c r="O19" s="48"/>
      <c r="P19" s="48"/>
      <c r="Q19" s="48"/>
      <c r="R19" s="48"/>
      <c r="S19" s="48"/>
      <c r="T19" s="48"/>
      <c r="U19" s="49"/>
      <c r="V19" s="49"/>
      <c r="W19" s="49"/>
      <c r="X19" s="49"/>
      <c r="Y19" s="49"/>
      <c r="Z19" s="49"/>
    </row>
    <row r="20" spans="1:26" ht="12.95">
      <c r="A20" s="48"/>
      <c r="B20" s="48"/>
      <c r="C20" s="48"/>
      <c r="D20" s="48"/>
      <c r="E20" s="48"/>
      <c r="F20" s="48"/>
      <c r="G20" s="48"/>
      <c r="H20" s="48"/>
      <c r="I20" s="48"/>
      <c r="J20" s="48"/>
      <c r="K20" s="48"/>
      <c r="L20" s="48"/>
      <c r="M20" s="48"/>
      <c r="N20" s="48"/>
      <c r="O20" s="48"/>
      <c r="P20" s="48"/>
      <c r="Q20" s="48"/>
      <c r="R20" s="48"/>
      <c r="S20" s="48"/>
      <c r="T20" s="48"/>
      <c r="U20" s="49"/>
      <c r="V20" s="49"/>
      <c r="W20" s="49"/>
      <c r="X20" s="49"/>
      <c r="Y20" s="49"/>
      <c r="Z20" s="49"/>
    </row>
    <row r="21" spans="1:26" ht="12.95">
      <c r="A21" s="48"/>
      <c r="B21" s="48"/>
      <c r="C21" s="48"/>
      <c r="D21" s="48"/>
      <c r="E21" s="48"/>
      <c r="F21" s="48"/>
      <c r="G21" s="48"/>
      <c r="H21" s="48"/>
      <c r="I21" s="48"/>
      <c r="J21" s="48"/>
      <c r="K21" s="48"/>
      <c r="L21" s="48"/>
      <c r="M21" s="48"/>
      <c r="N21" s="48"/>
      <c r="O21" s="48"/>
      <c r="P21" s="48"/>
      <c r="Q21" s="48"/>
      <c r="R21" s="48"/>
      <c r="S21" s="48"/>
      <c r="T21" s="48"/>
      <c r="U21" s="49"/>
      <c r="V21" s="49"/>
      <c r="W21" s="49"/>
      <c r="X21" s="49"/>
      <c r="Y21" s="49"/>
      <c r="Z21" s="49"/>
    </row>
    <row r="22" spans="1:26" ht="12.95">
      <c r="A22" s="48"/>
      <c r="B22" s="48"/>
      <c r="C22" s="48"/>
      <c r="D22" s="48"/>
      <c r="E22" s="48"/>
      <c r="F22" s="48"/>
      <c r="G22" s="48"/>
      <c r="H22" s="48"/>
      <c r="I22" s="48"/>
      <c r="J22" s="48"/>
      <c r="K22" s="48"/>
      <c r="L22" s="48"/>
      <c r="M22" s="48"/>
      <c r="N22" s="48"/>
      <c r="O22" s="48"/>
      <c r="P22" s="48"/>
      <c r="Q22" s="48"/>
      <c r="R22" s="48"/>
      <c r="S22" s="48"/>
      <c r="T22" s="48"/>
      <c r="U22" s="49"/>
      <c r="V22" s="49"/>
      <c r="W22" s="49"/>
      <c r="X22" s="49"/>
      <c r="Y22" s="49"/>
      <c r="Z22" s="49"/>
    </row>
    <row r="23" spans="1:26" ht="12.95">
      <c r="A23" s="48"/>
      <c r="B23" s="48"/>
      <c r="C23" s="48"/>
      <c r="D23" s="48"/>
      <c r="E23" s="48"/>
      <c r="F23" s="48"/>
      <c r="G23" s="48"/>
      <c r="H23" s="48"/>
      <c r="I23" s="48"/>
      <c r="J23" s="48"/>
      <c r="K23" s="48"/>
      <c r="L23" s="48"/>
      <c r="M23" s="48"/>
      <c r="N23" s="48"/>
      <c r="O23" s="48"/>
      <c r="P23" s="48"/>
      <c r="Q23" s="48"/>
      <c r="R23" s="48"/>
      <c r="S23" s="48"/>
      <c r="T23" s="48"/>
      <c r="U23" s="49"/>
      <c r="V23" s="49"/>
      <c r="W23" s="49"/>
      <c r="X23" s="49"/>
      <c r="Y23" s="49"/>
      <c r="Z23" s="49"/>
    </row>
    <row r="24" spans="1:26" ht="12.95">
      <c r="A24" s="48"/>
      <c r="B24" s="48"/>
      <c r="C24" s="48"/>
      <c r="D24" s="48"/>
      <c r="E24" s="48"/>
      <c r="F24" s="48"/>
      <c r="G24" s="48"/>
      <c r="H24" s="48"/>
      <c r="I24" s="48"/>
      <c r="J24" s="48"/>
      <c r="K24" s="48"/>
      <c r="L24" s="48"/>
      <c r="M24" s="48"/>
      <c r="N24" s="48"/>
      <c r="O24" s="48"/>
      <c r="P24" s="48"/>
      <c r="Q24" s="48"/>
      <c r="R24" s="48"/>
      <c r="S24" s="48"/>
      <c r="T24" s="48"/>
      <c r="U24" s="49"/>
      <c r="V24" s="49"/>
      <c r="W24" s="49"/>
      <c r="X24" s="49"/>
      <c r="Y24" s="49"/>
      <c r="Z24" s="49"/>
    </row>
    <row r="25" spans="1:26" ht="12.95">
      <c r="A25" s="48"/>
      <c r="B25" s="48"/>
      <c r="C25" s="48"/>
      <c r="D25" s="48"/>
      <c r="E25" s="48"/>
      <c r="F25" s="48"/>
      <c r="G25" s="48"/>
      <c r="H25" s="48"/>
      <c r="I25" s="48"/>
      <c r="J25" s="48"/>
      <c r="K25" s="48"/>
      <c r="L25" s="48"/>
      <c r="M25" s="48"/>
      <c r="N25" s="48"/>
      <c r="O25" s="48"/>
      <c r="P25" s="48"/>
      <c r="Q25" s="48"/>
      <c r="R25" s="48"/>
      <c r="S25" s="48"/>
      <c r="T25" s="48"/>
      <c r="U25" s="49"/>
      <c r="V25" s="49"/>
      <c r="W25" s="49"/>
      <c r="X25" s="49"/>
      <c r="Y25" s="49"/>
      <c r="Z25" s="49"/>
    </row>
    <row r="26" spans="1:26" ht="12.95">
      <c r="A26" s="48"/>
      <c r="B26" s="48"/>
      <c r="C26" s="48"/>
      <c r="D26" s="48"/>
      <c r="E26" s="48"/>
      <c r="F26" s="48"/>
      <c r="G26" s="48"/>
      <c r="H26" s="48"/>
      <c r="I26" s="48"/>
      <c r="J26" s="48"/>
      <c r="K26" s="48"/>
      <c r="L26" s="48"/>
      <c r="M26" s="48"/>
      <c r="N26" s="48"/>
      <c r="O26" s="48"/>
      <c r="P26" s="48"/>
      <c r="Q26" s="48"/>
      <c r="R26" s="48"/>
      <c r="S26" s="48"/>
      <c r="T26" s="48"/>
      <c r="U26" s="49"/>
      <c r="V26" s="49"/>
      <c r="W26" s="49"/>
      <c r="X26" s="49"/>
      <c r="Y26" s="49"/>
      <c r="Z26" s="49"/>
    </row>
    <row r="27" spans="1:26" ht="12.95">
      <c r="A27" s="48"/>
      <c r="B27" s="48"/>
      <c r="C27" s="48"/>
      <c r="D27" s="48"/>
      <c r="E27" s="48"/>
      <c r="F27" s="48"/>
      <c r="G27" s="48"/>
      <c r="H27" s="48"/>
      <c r="I27" s="48"/>
      <c r="J27" s="48"/>
      <c r="K27" s="48"/>
      <c r="L27" s="48"/>
      <c r="M27" s="48"/>
      <c r="N27" s="48"/>
      <c r="O27" s="48"/>
      <c r="P27" s="48"/>
      <c r="Q27" s="48"/>
      <c r="R27" s="48"/>
      <c r="S27" s="48"/>
      <c r="T27" s="48"/>
      <c r="U27" s="49"/>
      <c r="V27" s="49"/>
      <c r="W27" s="49"/>
      <c r="X27" s="49"/>
      <c r="Y27" s="49"/>
      <c r="Z27" s="49"/>
    </row>
    <row r="28" spans="1:26" ht="12.95">
      <c r="A28" s="48"/>
      <c r="B28" s="48"/>
      <c r="C28" s="48"/>
      <c r="D28" s="48"/>
      <c r="E28" s="48"/>
      <c r="F28" s="48"/>
      <c r="G28" s="48"/>
      <c r="H28" s="48"/>
      <c r="I28" s="48"/>
      <c r="J28" s="48"/>
      <c r="K28" s="48"/>
      <c r="L28" s="48"/>
      <c r="M28" s="48"/>
      <c r="N28" s="48"/>
      <c r="O28" s="48"/>
      <c r="P28" s="48"/>
      <c r="Q28" s="48"/>
      <c r="R28" s="48"/>
      <c r="S28" s="48"/>
      <c r="T28" s="48"/>
      <c r="U28" s="49"/>
      <c r="V28" s="49"/>
      <c r="W28" s="49"/>
      <c r="X28" s="49"/>
      <c r="Y28" s="49"/>
      <c r="Z28" s="49"/>
    </row>
    <row r="29" spans="1:26" ht="12.95">
      <c r="A29" s="48"/>
      <c r="B29" s="48"/>
      <c r="C29" s="48"/>
      <c r="D29" s="48"/>
      <c r="E29" s="48"/>
      <c r="F29" s="48"/>
      <c r="G29" s="48"/>
      <c r="H29" s="48"/>
      <c r="I29" s="48"/>
      <c r="J29" s="48"/>
      <c r="K29" s="48"/>
      <c r="L29" s="48"/>
      <c r="M29" s="48"/>
      <c r="N29" s="48"/>
      <c r="O29" s="48"/>
      <c r="P29" s="48"/>
      <c r="Q29" s="48"/>
      <c r="R29" s="48"/>
      <c r="S29" s="48"/>
      <c r="T29" s="48"/>
      <c r="U29" s="49"/>
      <c r="V29" s="49"/>
      <c r="W29" s="49"/>
      <c r="X29" s="49"/>
      <c r="Y29" s="49"/>
      <c r="Z29" s="49"/>
    </row>
    <row r="30" spans="1:26" ht="12.95">
      <c r="A30" s="48"/>
      <c r="B30" s="48"/>
      <c r="C30" s="48"/>
      <c r="D30" s="48"/>
      <c r="E30" s="48"/>
      <c r="F30" s="48"/>
      <c r="G30" s="48"/>
      <c r="H30" s="48"/>
      <c r="I30" s="48"/>
      <c r="J30" s="48"/>
      <c r="K30" s="48"/>
      <c r="L30" s="48"/>
      <c r="M30" s="48"/>
      <c r="N30" s="48"/>
      <c r="O30" s="48"/>
      <c r="P30" s="48"/>
      <c r="Q30" s="48"/>
      <c r="R30" s="48"/>
      <c r="S30" s="48"/>
      <c r="T30" s="48"/>
      <c r="U30" s="49"/>
      <c r="V30" s="49"/>
      <c r="W30" s="49"/>
      <c r="X30" s="49"/>
      <c r="Y30" s="49"/>
      <c r="Z30" s="49"/>
    </row>
    <row r="31" spans="1:26" ht="12.95">
      <c r="A31" s="48"/>
      <c r="B31" s="48"/>
      <c r="C31" s="48"/>
      <c r="D31" s="48"/>
      <c r="E31" s="48"/>
      <c r="F31" s="48"/>
      <c r="G31" s="48"/>
      <c r="H31" s="48"/>
      <c r="I31" s="48"/>
      <c r="J31" s="48"/>
      <c r="K31" s="48"/>
      <c r="L31" s="48"/>
      <c r="M31" s="48"/>
      <c r="N31" s="48"/>
      <c r="O31" s="48"/>
      <c r="P31" s="48"/>
      <c r="Q31" s="48"/>
      <c r="R31" s="48"/>
      <c r="S31" s="48"/>
      <c r="T31" s="48"/>
      <c r="U31" s="49"/>
      <c r="V31" s="49"/>
      <c r="W31" s="49"/>
      <c r="X31" s="49"/>
      <c r="Y31" s="49"/>
      <c r="Z31" s="49"/>
    </row>
    <row r="32" spans="1:26" ht="12.95">
      <c r="A32" s="48"/>
      <c r="B32" s="48"/>
      <c r="C32" s="48"/>
      <c r="D32" s="48"/>
      <c r="E32" s="48"/>
      <c r="F32" s="48"/>
      <c r="G32" s="48"/>
      <c r="H32" s="48"/>
      <c r="I32" s="48"/>
      <c r="J32" s="48"/>
      <c r="K32" s="48"/>
      <c r="L32" s="48"/>
      <c r="M32" s="48"/>
      <c r="N32" s="48"/>
      <c r="O32" s="48"/>
      <c r="P32" s="48"/>
      <c r="Q32" s="48"/>
      <c r="R32" s="48"/>
      <c r="S32" s="48"/>
      <c r="T32" s="48"/>
      <c r="U32" s="49"/>
      <c r="V32" s="49"/>
      <c r="W32" s="49"/>
      <c r="X32" s="49"/>
      <c r="Y32" s="49"/>
      <c r="Z32" s="49"/>
    </row>
    <row r="33" spans="1:26" ht="12.95">
      <c r="A33" s="48"/>
      <c r="B33" s="48"/>
      <c r="C33" s="48"/>
      <c r="D33" s="48"/>
      <c r="E33" s="48"/>
      <c r="F33" s="48"/>
      <c r="G33" s="48"/>
      <c r="H33" s="48"/>
      <c r="I33" s="48"/>
      <c r="J33" s="48"/>
      <c r="K33" s="48"/>
      <c r="L33" s="48"/>
      <c r="M33" s="48"/>
      <c r="N33" s="48"/>
      <c r="O33" s="48"/>
      <c r="P33" s="48"/>
      <c r="Q33" s="48"/>
      <c r="R33" s="48"/>
      <c r="S33" s="48"/>
      <c r="T33" s="48"/>
      <c r="U33" s="49"/>
      <c r="V33" s="49"/>
      <c r="W33" s="49"/>
      <c r="X33" s="49"/>
      <c r="Y33" s="49"/>
      <c r="Z33" s="49"/>
    </row>
    <row r="34" spans="1:26" ht="12.95">
      <c r="A34" s="48"/>
      <c r="B34" s="48"/>
      <c r="C34" s="48"/>
      <c r="D34" s="48"/>
      <c r="E34" s="48"/>
      <c r="F34" s="48"/>
      <c r="G34" s="48"/>
      <c r="H34" s="48"/>
      <c r="I34" s="48"/>
      <c r="J34" s="48"/>
      <c r="K34" s="48"/>
      <c r="L34" s="48"/>
      <c r="M34" s="48"/>
      <c r="N34" s="48"/>
      <c r="O34" s="48"/>
      <c r="P34" s="48"/>
      <c r="Q34" s="48"/>
      <c r="R34" s="48"/>
      <c r="S34" s="48"/>
      <c r="T34" s="48"/>
      <c r="U34" s="49"/>
      <c r="V34" s="49"/>
      <c r="W34" s="49"/>
      <c r="X34" s="49"/>
      <c r="Y34" s="49"/>
      <c r="Z34" s="49"/>
    </row>
    <row r="35" spans="1:26" ht="12.95">
      <c r="A35" s="48"/>
      <c r="B35" s="48"/>
      <c r="C35" s="48"/>
      <c r="D35" s="48"/>
      <c r="E35" s="48"/>
      <c r="F35" s="48"/>
      <c r="G35" s="48"/>
      <c r="H35" s="48"/>
      <c r="I35" s="48"/>
      <c r="J35" s="48"/>
      <c r="K35" s="48"/>
      <c r="L35" s="48"/>
      <c r="M35" s="48"/>
      <c r="N35" s="48"/>
      <c r="O35" s="48"/>
      <c r="P35" s="48"/>
      <c r="Q35" s="48"/>
      <c r="R35" s="48"/>
      <c r="S35" s="48"/>
      <c r="T35" s="48"/>
      <c r="U35" s="49"/>
      <c r="V35" s="49"/>
      <c r="W35" s="49"/>
      <c r="X35" s="49"/>
      <c r="Y35" s="49"/>
      <c r="Z35" s="49"/>
    </row>
    <row r="36" spans="1:26" ht="12.95">
      <c r="A36" s="48"/>
      <c r="B36" s="48"/>
      <c r="C36" s="48"/>
      <c r="D36" s="48"/>
      <c r="E36" s="48"/>
      <c r="F36" s="48"/>
      <c r="G36" s="48"/>
      <c r="H36" s="48"/>
      <c r="I36" s="48"/>
      <c r="J36" s="48"/>
      <c r="K36" s="48"/>
      <c r="L36" s="48"/>
      <c r="M36" s="48"/>
      <c r="N36" s="48"/>
      <c r="O36" s="48"/>
      <c r="P36" s="48"/>
      <c r="Q36" s="48"/>
      <c r="R36" s="48"/>
      <c r="S36" s="48"/>
      <c r="T36" s="48"/>
      <c r="U36" s="49"/>
      <c r="V36" s="49"/>
      <c r="W36" s="49"/>
      <c r="X36" s="49"/>
      <c r="Y36" s="49"/>
      <c r="Z36" s="49"/>
    </row>
    <row r="37" spans="1:26" ht="12.95">
      <c r="A37" s="48"/>
      <c r="B37" s="48"/>
      <c r="C37" s="48"/>
      <c r="D37" s="48"/>
      <c r="E37" s="48"/>
      <c r="F37" s="48"/>
      <c r="G37" s="48"/>
      <c r="H37" s="48"/>
      <c r="I37" s="48"/>
      <c r="J37" s="48"/>
      <c r="K37" s="48"/>
      <c r="L37" s="48"/>
      <c r="M37" s="48"/>
      <c r="N37" s="48"/>
      <c r="O37" s="48"/>
      <c r="P37" s="48"/>
      <c r="Q37" s="48"/>
      <c r="R37" s="48"/>
      <c r="S37" s="48"/>
      <c r="T37" s="48"/>
      <c r="U37" s="49"/>
      <c r="V37" s="49"/>
      <c r="W37" s="49"/>
      <c r="X37" s="49"/>
      <c r="Y37" s="49"/>
      <c r="Z37" s="49"/>
    </row>
    <row r="38" spans="1:26" ht="12.95">
      <c r="A38" s="48"/>
      <c r="B38" s="48"/>
      <c r="C38" s="48"/>
      <c r="D38" s="48"/>
      <c r="E38" s="48"/>
      <c r="F38" s="48"/>
      <c r="G38" s="48"/>
      <c r="H38" s="48"/>
      <c r="I38" s="48"/>
      <c r="J38" s="48"/>
      <c r="K38" s="48"/>
      <c r="L38" s="48"/>
      <c r="M38" s="48"/>
      <c r="N38" s="48"/>
      <c r="O38" s="48"/>
      <c r="P38" s="48"/>
      <c r="Q38" s="48"/>
      <c r="R38" s="48"/>
      <c r="S38" s="48"/>
      <c r="T38" s="48"/>
      <c r="U38" s="49"/>
      <c r="V38" s="49"/>
      <c r="W38" s="49"/>
      <c r="X38" s="49"/>
      <c r="Y38" s="49"/>
      <c r="Z38" s="49"/>
    </row>
    <row r="39" spans="1:26" ht="12.95">
      <c r="A39" s="48"/>
      <c r="B39" s="48"/>
      <c r="C39" s="48"/>
      <c r="D39" s="48"/>
      <c r="E39" s="48"/>
      <c r="F39" s="48"/>
      <c r="G39" s="48"/>
      <c r="H39" s="48"/>
      <c r="I39" s="48"/>
      <c r="J39" s="48"/>
      <c r="K39" s="48"/>
      <c r="L39" s="48"/>
      <c r="M39" s="48"/>
      <c r="N39" s="48"/>
      <c r="O39" s="48"/>
      <c r="P39" s="48"/>
      <c r="Q39" s="48"/>
      <c r="R39" s="48"/>
      <c r="S39" s="48"/>
      <c r="T39" s="48"/>
      <c r="U39" s="49"/>
      <c r="V39" s="49"/>
      <c r="W39" s="49"/>
      <c r="X39" s="49"/>
      <c r="Y39" s="49"/>
      <c r="Z39" s="49"/>
    </row>
    <row r="40" spans="1:26" ht="12.95">
      <c r="A40" s="48"/>
      <c r="B40" s="48"/>
      <c r="C40" s="48"/>
      <c r="D40" s="48"/>
      <c r="E40" s="48"/>
      <c r="F40" s="48"/>
      <c r="G40" s="48"/>
      <c r="H40" s="48"/>
      <c r="I40" s="48"/>
      <c r="J40" s="48"/>
      <c r="K40" s="48"/>
      <c r="L40" s="48"/>
      <c r="M40" s="48"/>
      <c r="N40" s="48"/>
      <c r="O40" s="48"/>
      <c r="P40" s="48"/>
      <c r="Q40" s="48"/>
      <c r="R40" s="48"/>
      <c r="S40" s="48"/>
      <c r="T40" s="48"/>
      <c r="U40" s="49"/>
      <c r="V40" s="49"/>
      <c r="W40" s="49"/>
      <c r="X40" s="49"/>
      <c r="Y40" s="49"/>
      <c r="Z40" s="49"/>
    </row>
    <row r="41" spans="1:26" ht="12.95">
      <c r="A41" s="48"/>
      <c r="B41" s="48"/>
      <c r="C41" s="48"/>
      <c r="D41" s="48"/>
      <c r="E41" s="48"/>
      <c r="F41" s="48"/>
      <c r="G41" s="48"/>
      <c r="H41" s="48"/>
      <c r="I41" s="48"/>
      <c r="J41" s="48"/>
      <c r="K41" s="48"/>
      <c r="L41" s="48"/>
      <c r="M41" s="48"/>
      <c r="N41" s="48"/>
      <c r="O41" s="48"/>
      <c r="P41" s="48"/>
      <c r="Q41" s="48"/>
      <c r="R41" s="48"/>
      <c r="S41" s="48"/>
      <c r="T41" s="48"/>
      <c r="U41" s="49"/>
      <c r="V41" s="49"/>
      <c r="W41" s="49"/>
      <c r="X41" s="49"/>
      <c r="Y41" s="49"/>
      <c r="Z41" s="49"/>
    </row>
    <row r="42" spans="1:26" ht="12.95">
      <c r="A42" s="48"/>
      <c r="B42" s="48"/>
      <c r="C42" s="48"/>
      <c r="D42" s="48"/>
      <c r="E42" s="48"/>
      <c r="F42" s="48"/>
      <c r="G42" s="48"/>
      <c r="H42" s="48"/>
      <c r="I42" s="48"/>
      <c r="J42" s="48"/>
      <c r="K42" s="48"/>
      <c r="L42" s="48"/>
      <c r="M42" s="48"/>
      <c r="N42" s="48"/>
      <c r="O42" s="48"/>
      <c r="P42" s="48"/>
      <c r="Q42" s="48"/>
      <c r="R42" s="48"/>
      <c r="S42" s="48"/>
      <c r="T42" s="48"/>
      <c r="U42" s="49"/>
      <c r="V42" s="49"/>
      <c r="W42" s="49"/>
      <c r="X42" s="49"/>
      <c r="Y42" s="49"/>
      <c r="Z42" s="49"/>
    </row>
    <row r="43" spans="1:26" ht="12.95">
      <c r="A43" s="48"/>
      <c r="B43" s="48"/>
      <c r="C43" s="48"/>
      <c r="D43" s="48"/>
      <c r="E43" s="48"/>
      <c r="F43" s="48"/>
      <c r="G43" s="48"/>
      <c r="H43" s="48"/>
      <c r="I43" s="48"/>
      <c r="J43" s="48"/>
      <c r="K43" s="48"/>
      <c r="L43" s="48"/>
      <c r="M43" s="48"/>
      <c r="N43" s="48"/>
      <c r="O43" s="48"/>
      <c r="P43" s="48"/>
      <c r="Q43" s="48"/>
      <c r="R43" s="48"/>
      <c r="S43" s="48"/>
      <c r="T43" s="48"/>
      <c r="U43" s="49"/>
      <c r="V43" s="49"/>
      <c r="W43" s="49"/>
      <c r="X43" s="49"/>
      <c r="Y43" s="49"/>
      <c r="Z43" s="49"/>
    </row>
    <row r="44" spans="1:26" ht="12.95">
      <c r="A44" s="48"/>
      <c r="B44" s="48"/>
      <c r="C44" s="48"/>
      <c r="D44" s="48"/>
      <c r="E44" s="48"/>
      <c r="F44" s="48"/>
      <c r="G44" s="48"/>
      <c r="H44" s="48"/>
      <c r="I44" s="48"/>
      <c r="J44" s="48"/>
      <c r="K44" s="48"/>
      <c r="L44" s="48"/>
      <c r="M44" s="48"/>
      <c r="N44" s="48"/>
      <c r="O44" s="48"/>
      <c r="P44" s="48"/>
      <c r="Q44" s="48"/>
      <c r="R44" s="48"/>
      <c r="S44" s="48"/>
      <c r="T44" s="48"/>
      <c r="U44" s="49"/>
      <c r="V44" s="49"/>
      <c r="W44" s="49"/>
      <c r="X44" s="49"/>
      <c r="Y44" s="49"/>
      <c r="Z44" s="49"/>
    </row>
    <row r="45" spans="1:26" ht="12.95">
      <c r="A45" s="48"/>
      <c r="B45" s="48"/>
      <c r="C45" s="48"/>
      <c r="D45" s="48"/>
      <c r="E45" s="48"/>
      <c r="F45" s="48"/>
      <c r="G45" s="48"/>
      <c r="H45" s="48"/>
      <c r="I45" s="48"/>
      <c r="J45" s="48"/>
      <c r="K45" s="48"/>
      <c r="L45" s="48"/>
      <c r="M45" s="48"/>
      <c r="N45" s="48"/>
      <c r="O45" s="48"/>
      <c r="P45" s="48"/>
      <c r="Q45" s="48"/>
      <c r="R45" s="48"/>
      <c r="S45" s="48"/>
      <c r="T45" s="48"/>
      <c r="U45" s="49"/>
      <c r="V45" s="49"/>
      <c r="W45" s="49"/>
      <c r="X45" s="49"/>
      <c r="Y45" s="49"/>
      <c r="Z45" s="49"/>
    </row>
    <row r="46" spans="1:26" ht="12.95">
      <c r="A46" s="48"/>
      <c r="B46" s="48"/>
      <c r="C46" s="48"/>
      <c r="D46" s="48"/>
      <c r="E46" s="48"/>
      <c r="F46" s="48"/>
      <c r="G46" s="48"/>
      <c r="H46" s="48"/>
      <c r="I46" s="48"/>
      <c r="J46" s="48"/>
      <c r="K46" s="48"/>
      <c r="L46" s="48"/>
      <c r="M46" s="48"/>
      <c r="N46" s="48"/>
      <c r="O46" s="48"/>
      <c r="P46" s="48"/>
      <c r="Q46" s="48"/>
      <c r="R46" s="48"/>
      <c r="S46" s="48"/>
      <c r="T46" s="48"/>
      <c r="U46" s="49"/>
      <c r="V46" s="49"/>
      <c r="W46" s="49"/>
      <c r="X46" s="49"/>
      <c r="Y46" s="49"/>
      <c r="Z46" s="49"/>
    </row>
    <row r="47" spans="1:26" ht="12.95">
      <c r="A47" s="48"/>
      <c r="B47" s="48"/>
      <c r="C47" s="48"/>
      <c r="D47" s="48"/>
      <c r="E47" s="48"/>
      <c r="F47" s="48"/>
      <c r="G47" s="48"/>
      <c r="H47" s="48"/>
      <c r="I47" s="48"/>
      <c r="J47" s="48"/>
      <c r="K47" s="48"/>
      <c r="L47" s="48"/>
      <c r="M47" s="48"/>
      <c r="N47" s="48"/>
      <c r="O47" s="48"/>
      <c r="P47" s="48"/>
      <c r="Q47" s="48"/>
      <c r="R47" s="48"/>
      <c r="S47" s="48"/>
      <c r="T47" s="48"/>
      <c r="U47" s="49"/>
      <c r="V47" s="49"/>
      <c r="W47" s="49"/>
      <c r="X47" s="49"/>
      <c r="Y47" s="49"/>
      <c r="Z47" s="49"/>
    </row>
    <row r="48" spans="1:26" ht="12.95">
      <c r="A48" s="48"/>
      <c r="B48" s="48"/>
      <c r="C48" s="48"/>
      <c r="D48" s="48"/>
      <c r="E48" s="48"/>
      <c r="F48" s="48"/>
      <c r="G48" s="48"/>
      <c r="H48" s="48"/>
      <c r="I48" s="48"/>
      <c r="J48" s="48"/>
      <c r="K48" s="48"/>
      <c r="L48" s="48"/>
      <c r="M48" s="48"/>
      <c r="N48" s="48"/>
      <c r="O48" s="48"/>
      <c r="P48" s="48"/>
      <c r="Q48" s="48"/>
      <c r="R48" s="48"/>
      <c r="S48" s="48"/>
      <c r="T48" s="48"/>
      <c r="U48" s="49"/>
      <c r="V48" s="49"/>
      <c r="W48" s="49"/>
      <c r="X48" s="49"/>
      <c r="Y48" s="49"/>
      <c r="Z48" s="49"/>
    </row>
    <row r="49" spans="1:26" ht="12.95">
      <c r="A49" s="48"/>
      <c r="B49" s="48"/>
      <c r="C49" s="48"/>
      <c r="D49" s="48"/>
      <c r="E49" s="48"/>
      <c r="F49" s="48"/>
      <c r="G49" s="48"/>
      <c r="H49" s="48"/>
      <c r="I49" s="48"/>
      <c r="J49" s="48"/>
      <c r="K49" s="48"/>
      <c r="L49" s="48"/>
      <c r="M49" s="48"/>
      <c r="N49" s="48"/>
      <c r="O49" s="48"/>
      <c r="P49" s="48"/>
      <c r="Q49" s="48"/>
      <c r="R49" s="48"/>
      <c r="S49" s="48"/>
      <c r="T49" s="48"/>
      <c r="U49" s="49"/>
      <c r="V49" s="49"/>
      <c r="W49" s="49"/>
      <c r="X49" s="49"/>
      <c r="Y49" s="49"/>
      <c r="Z49" s="49"/>
    </row>
    <row r="50" spans="1:26" ht="12.95">
      <c r="A50" s="48"/>
      <c r="B50" s="48"/>
      <c r="C50" s="48"/>
      <c r="D50" s="48"/>
      <c r="E50" s="48"/>
      <c r="F50" s="48"/>
      <c r="G50" s="48"/>
      <c r="H50" s="48"/>
      <c r="I50" s="48"/>
      <c r="J50" s="48"/>
      <c r="K50" s="48"/>
      <c r="L50" s="48"/>
      <c r="M50" s="48"/>
      <c r="N50" s="48"/>
      <c r="O50" s="48"/>
      <c r="P50" s="48"/>
      <c r="Q50" s="48"/>
      <c r="R50" s="48"/>
      <c r="S50" s="48"/>
      <c r="T50" s="48"/>
      <c r="U50" s="49"/>
      <c r="V50" s="49"/>
      <c r="W50" s="49"/>
      <c r="X50" s="49"/>
      <c r="Y50" s="49"/>
      <c r="Z50" s="49"/>
    </row>
    <row r="51" spans="1:26" ht="12.95">
      <c r="A51" s="48"/>
      <c r="B51" s="48"/>
      <c r="C51" s="48"/>
      <c r="D51" s="48"/>
      <c r="E51" s="48"/>
      <c r="F51" s="48"/>
      <c r="G51" s="48"/>
      <c r="H51" s="48"/>
      <c r="I51" s="48"/>
      <c r="J51" s="48"/>
      <c r="K51" s="48"/>
      <c r="L51" s="48"/>
      <c r="M51" s="48"/>
      <c r="N51" s="48"/>
      <c r="O51" s="48"/>
      <c r="P51" s="48"/>
      <c r="Q51" s="48"/>
      <c r="R51" s="48"/>
      <c r="S51" s="48"/>
      <c r="T51" s="48"/>
      <c r="U51" s="49"/>
      <c r="V51" s="49"/>
      <c r="W51" s="49"/>
      <c r="X51" s="49"/>
      <c r="Y51" s="49"/>
      <c r="Z51" s="49"/>
    </row>
    <row r="52" spans="1:26" ht="12.95">
      <c r="A52" s="48"/>
      <c r="B52" s="48"/>
      <c r="C52" s="48"/>
      <c r="D52" s="48"/>
      <c r="E52" s="48"/>
      <c r="F52" s="48"/>
      <c r="G52" s="48"/>
      <c r="H52" s="48"/>
      <c r="I52" s="48"/>
      <c r="J52" s="48"/>
      <c r="K52" s="48"/>
      <c r="L52" s="48"/>
      <c r="M52" s="48"/>
      <c r="N52" s="48"/>
      <c r="O52" s="48"/>
      <c r="P52" s="48"/>
      <c r="Q52" s="48"/>
      <c r="R52" s="48"/>
      <c r="S52" s="48"/>
      <c r="T52" s="48"/>
      <c r="U52" s="49"/>
      <c r="V52" s="49"/>
      <c r="W52" s="49"/>
      <c r="X52" s="49"/>
      <c r="Y52" s="49"/>
      <c r="Z52" s="49"/>
    </row>
    <row r="53" spans="1:26" ht="12.95">
      <c r="A53" s="48"/>
      <c r="B53" s="48"/>
      <c r="C53" s="48"/>
      <c r="D53" s="48"/>
      <c r="E53" s="48"/>
      <c r="F53" s="48"/>
      <c r="G53" s="48"/>
      <c r="H53" s="48"/>
      <c r="I53" s="48"/>
      <c r="J53" s="48"/>
      <c r="K53" s="48"/>
      <c r="L53" s="48"/>
      <c r="M53" s="48"/>
      <c r="N53" s="48"/>
      <c r="O53" s="48"/>
      <c r="P53" s="48"/>
      <c r="Q53" s="48"/>
      <c r="R53" s="48"/>
      <c r="S53" s="48"/>
      <c r="T53" s="48"/>
      <c r="U53" s="49"/>
      <c r="V53" s="49"/>
      <c r="W53" s="49"/>
      <c r="X53" s="49"/>
      <c r="Y53" s="49"/>
      <c r="Z53" s="49"/>
    </row>
    <row r="54" spans="1:26" ht="12.95">
      <c r="A54" s="48"/>
      <c r="B54" s="48"/>
      <c r="C54" s="48"/>
      <c r="D54" s="48"/>
      <c r="E54" s="48"/>
      <c r="F54" s="48"/>
      <c r="G54" s="48"/>
      <c r="H54" s="48"/>
      <c r="I54" s="48"/>
      <c r="J54" s="48"/>
      <c r="K54" s="48"/>
      <c r="L54" s="48"/>
      <c r="M54" s="48"/>
      <c r="N54" s="48"/>
      <c r="O54" s="48"/>
      <c r="P54" s="48"/>
      <c r="Q54" s="48"/>
      <c r="R54" s="48"/>
      <c r="S54" s="48"/>
      <c r="T54" s="48"/>
      <c r="U54" s="49"/>
      <c r="V54" s="49"/>
      <c r="W54" s="49"/>
      <c r="X54" s="49"/>
      <c r="Y54" s="49"/>
      <c r="Z54" s="49"/>
    </row>
    <row r="55" spans="1:26" ht="12.95">
      <c r="A55" s="48"/>
      <c r="B55" s="48"/>
      <c r="C55" s="48"/>
      <c r="D55" s="48"/>
      <c r="E55" s="48"/>
      <c r="F55" s="48"/>
      <c r="G55" s="48"/>
      <c r="H55" s="48"/>
      <c r="I55" s="48"/>
      <c r="J55" s="48"/>
      <c r="K55" s="48"/>
      <c r="L55" s="48"/>
      <c r="M55" s="48"/>
      <c r="N55" s="48"/>
      <c r="O55" s="48"/>
      <c r="P55" s="48"/>
      <c r="Q55" s="48"/>
      <c r="R55" s="48"/>
      <c r="S55" s="48"/>
      <c r="T55" s="48"/>
      <c r="U55" s="49"/>
      <c r="V55" s="49"/>
      <c r="W55" s="49"/>
      <c r="X55" s="49"/>
      <c r="Y55" s="49"/>
      <c r="Z55" s="49"/>
    </row>
    <row r="56" spans="1:26" ht="12.95">
      <c r="A56" s="48"/>
      <c r="B56" s="48"/>
      <c r="C56" s="48"/>
      <c r="D56" s="48"/>
      <c r="E56" s="48"/>
      <c r="F56" s="48"/>
      <c r="G56" s="48"/>
      <c r="H56" s="48"/>
      <c r="I56" s="48"/>
      <c r="J56" s="48"/>
      <c r="K56" s="48"/>
      <c r="L56" s="48"/>
      <c r="M56" s="48"/>
      <c r="N56" s="48"/>
      <c r="O56" s="48"/>
      <c r="P56" s="48"/>
      <c r="Q56" s="48"/>
      <c r="R56" s="48"/>
      <c r="S56" s="48"/>
      <c r="T56" s="48"/>
      <c r="U56" s="49"/>
      <c r="V56" s="49"/>
      <c r="W56" s="49"/>
      <c r="X56" s="49"/>
      <c r="Y56" s="49"/>
      <c r="Z56" s="49"/>
    </row>
    <row r="57" spans="1:26" ht="12.95">
      <c r="A57" s="48"/>
      <c r="B57" s="48"/>
      <c r="C57" s="48"/>
      <c r="D57" s="48"/>
      <c r="E57" s="48"/>
      <c r="F57" s="48"/>
      <c r="G57" s="48"/>
      <c r="H57" s="48"/>
      <c r="I57" s="48"/>
      <c r="J57" s="48"/>
      <c r="K57" s="48"/>
      <c r="L57" s="48"/>
      <c r="M57" s="48"/>
      <c r="N57" s="48"/>
      <c r="O57" s="48"/>
      <c r="P57" s="48"/>
      <c r="Q57" s="48"/>
      <c r="R57" s="48"/>
      <c r="S57" s="48"/>
      <c r="T57" s="48"/>
      <c r="U57" s="49"/>
      <c r="V57" s="49"/>
      <c r="W57" s="49"/>
      <c r="X57" s="49"/>
      <c r="Y57" s="49"/>
      <c r="Z57" s="49"/>
    </row>
    <row r="58" spans="1:26" ht="12.95">
      <c r="A58" s="48"/>
      <c r="B58" s="48"/>
      <c r="C58" s="48"/>
      <c r="D58" s="48"/>
      <c r="E58" s="48"/>
      <c r="F58" s="48"/>
      <c r="G58" s="48"/>
      <c r="H58" s="48"/>
      <c r="I58" s="48"/>
      <c r="J58" s="48"/>
      <c r="K58" s="48"/>
      <c r="L58" s="48"/>
      <c r="M58" s="48"/>
      <c r="N58" s="48"/>
      <c r="O58" s="48"/>
      <c r="P58" s="48"/>
      <c r="Q58" s="48"/>
      <c r="R58" s="48"/>
      <c r="S58" s="48"/>
      <c r="T58" s="48"/>
      <c r="U58" s="49"/>
      <c r="V58" s="49"/>
      <c r="W58" s="49"/>
      <c r="X58" s="49"/>
      <c r="Y58" s="49"/>
      <c r="Z58" s="49"/>
    </row>
    <row r="59" spans="1:26" ht="12.95">
      <c r="A59" s="48"/>
      <c r="B59" s="48"/>
      <c r="C59" s="48"/>
      <c r="D59" s="48"/>
      <c r="E59" s="48"/>
      <c r="F59" s="48"/>
      <c r="G59" s="48"/>
      <c r="H59" s="48"/>
      <c r="I59" s="48"/>
      <c r="J59" s="48"/>
      <c r="K59" s="48"/>
      <c r="L59" s="48"/>
      <c r="M59" s="48"/>
      <c r="N59" s="48"/>
      <c r="O59" s="48"/>
      <c r="P59" s="48"/>
      <c r="Q59" s="48"/>
      <c r="R59" s="48"/>
      <c r="S59" s="48"/>
      <c r="T59" s="48"/>
      <c r="U59" s="49"/>
      <c r="V59" s="49"/>
      <c r="W59" s="49"/>
      <c r="X59" s="49"/>
      <c r="Y59" s="49"/>
      <c r="Z59" s="49"/>
    </row>
    <row r="60" spans="1:26" ht="12.95">
      <c r="A60" s="48"/>
      <c r="B60" s="48"/>
      <c r="C60" s="48"/>
      <c r="D60" s="48"/>
      <c r="E60" s="48"/>
      <c r="F60" s="48"/>
      <c r="G60" s="48"/>
      <c r="H60" s="48"/>
      <c r="I60" s="49"/>
      <c r="J60" s="49"/>
      <c r="K60" s="49"/>
      <c r="L60" s="49"/>
      <c r="M60" s="49"/>
      <c r="N60" s="49"/>
      <c r="O60" s="49"/>
      <c r="P60" s="49"/>
      <c r="Q60" s="49"/>
      <c r="R60" s="49"/>
      <c r="S60" s="49"/>
      <c r="T60" s="49"/>
      <c r="U60" s="49"/>
      <c r="V60" s="49"/>
      <c r="W60" s="49"/>
      <c r="X60" s="49"/>
      <c r="Y60" s="49"/>
      <c r="Z60" s="49"/>
    </row>
    <row r="61" spans="1:26" ht="12.9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12.9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12.9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12.9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12.9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12.95">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12.95">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12.95">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12.95">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12.95">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12.95">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12.9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12.95">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12.95">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12.9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12.95">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12.95">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12.95">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12.95">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12.95">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12.95">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12.95">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12.95">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12.95">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12.9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12.95">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12.95">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12.95">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12.95">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12.95">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12.95">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12.95">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12.95">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12.95">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12.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12.95">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12.95">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12.95">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12.95">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12.95">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12.95">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12.95">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12.95">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12.95">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12.9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12.95">
      <c r="A106" s="69" t="s">
        <v>86</v>
      </c>
      <c r="B106" s="69" t="s">
        <v>87</v>
      </c>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39">
      <c r="A107" s="70" t="s">
        <v>88</v>
      </c>
      <c r="B107" s="71"/>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246.95">
      <c r="A108" s="70" t="s">
        <v>89</v>
      </c>
      <c r="B108" s="71" t="s">
        <v>90</v>
      </c>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409.5">
      <c r="A109" s="70" t="s">
        <v>91</v>
      </c>
      <c r="B109" s="71" t="s">
        <v>92</v>
      </c>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409.5">
      <c r="A110" s="70" t="s">
        <v>93</v>
      </c>
      <c r="B110" s="71" t="s">
        <v>94</v>
      </c>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409.5">
      <c r="A111" s="70" t="s">
        <v>95</v>
      </c>
      <c r="B111" s="71" t="s">
        <v>96</v>
      </c>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409.5">
      <c r="A112" s="70" t="s">
        <v>97</v>
      </c>
      <c r="B112" s="71" t="s">
        <v>98</v>
      </c>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409.5">
      <c r="A113" s="70" t="s">
        <v>99</v>
      </c>
      <c r="B113" s="71" t="s">
        <v>100</v>
      </c>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409.5">
      <c r="A114" s="70" t="s">
        <v>101</v>
      </c>
      <c r="B114" s="71" t="s">
        <v>102</v>
      </c>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409.5">
      <c r="A115" s="70" t="s">
        <v>103</v>
      </c>
      <c r="B115" s="71" t="s">
        <v>104</v>
      </c>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260.10000000000002">
      <c r="A116" s="70" t="s">
        <v>105</v>
      </c>
      <c r="B116" s="72" t="s">
        <v>106</v>
      </c>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12.95">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12.95">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12.95">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12.95">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12.95">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12.95">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12.95">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12.95">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12.9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12.95">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12.95">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12.95">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12.95">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12.95">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12.95">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12.95">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12.95">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12.95">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12.9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12.95">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12.95">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12.9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12.9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12.9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12.9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12.95">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12.9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12.9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12.9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12.9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12.95">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12.9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12.9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12.9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12.9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12.9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12.9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12.9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12.9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12.9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12.9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12.9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12.95">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12.95">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12.95">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12.95">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12.95">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12.95">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12.9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12.95">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12.9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12.9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12.9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12.9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12.9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12.9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12.9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12.9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12.9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12.9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12.95">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12.95">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12.95">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12.95">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12.95">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12.95">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12.95">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12.95">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12.9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12.95">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12.95">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12.95">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12.95">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12.95">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12.95">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12.95">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12.95">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12.95">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12.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12.95">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12.95">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12.95">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12.95">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12.95">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12.95">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12.95">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12.95">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12.95">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12.9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12.95">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12.95">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12.95">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12.95">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12.95">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12.95">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12.95">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12.95">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2.95">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2.9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2.95">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2.95">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2.95">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2.95">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2.95">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2.95">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2.95">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2.95">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2.95">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2.9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2.95">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2.95">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2.95">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2.95">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2.95">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2.95">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2.95">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2.95">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2.95">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2.9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2.95">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2.95">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2.95">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2.95">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2.95">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2.95">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2.95">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2.95">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2.95">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2.9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2.95">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2.95">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2.95">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2.95">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2.95">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2.95">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12.95">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12.95">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12.95">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12.9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12.95">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12.95">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12.95">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12.95">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12.95">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12.95">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12.95">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12.95">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12.95">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12.9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12.95">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12.95">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12.95">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12.95">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12.95">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12.95">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12.95">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12.95">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12.95">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12.9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12.95">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12.95">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12.95">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12.95">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12.95">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12.95">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12.95">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12.95">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12.95">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12.9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12.95">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12.95">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12.95">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12.95">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12.95">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12.95">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12.95">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12.95">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12.95">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1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12.95">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12.95">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12.95">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12.95">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12.95">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12.95">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12.95">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12.95">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12.95">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12.9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12.95">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12.95">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12.95">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12.95">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12.95">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12.95">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12.95">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12.95">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12.95">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12.9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12.95">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12.95">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12.95">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12.95">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12.95">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12.95">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12.95">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12.95">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12.95">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12.9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12.95">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12.95">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12.95">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12.95">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12.95">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12.95">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12.95">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12.95">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12.95">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12.9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12.95">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12.95">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12.95">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12.95">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12.95">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12.95">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12.95">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12.95">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12.95">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12.9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12.95">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12.95">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12.95">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12.95">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12.95">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12.95">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12.95">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12.95">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12.95">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12.9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12.95">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12.95">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12.95">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12.95">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12.95">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12.95">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12.95">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12.95">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12.95">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12.9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12.95">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12.95">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12.95">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12.95">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12.95">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12.95">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12.95">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12.95">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12.95">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12.9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12.95">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12.95">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12.95">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12.95">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12.95">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12.95">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12.95">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12.95">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12.95">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12.9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12.95">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12.95">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12.95">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12.95">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12.95">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12.95">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12.95">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12.95">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12.95">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12.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12.95">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12.95">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12.95">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12.95">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12.95">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12.95">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12.95">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12.95">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12.95">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12.9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12.95">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12.95">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12.95">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12.95">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12.95">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12.95">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12.95">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12.95">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12.95">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12.9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12.95">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12.95">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12.95">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12.95">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12.95">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12.95">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12.95">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12.95">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12.95">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12.9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12.95">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12.95">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12.95">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12.95">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12.95">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12.95">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12.95">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12.95">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12.95">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12.9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12.95">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12.95">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12.95">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12.95">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12.95">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12.95">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12.95">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12.95">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12.95">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12.9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12.95">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12.95">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12.95">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12.95">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12.95">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12.95">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12.95">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12.95">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12.95">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12.9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12.95">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12.95">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12.95">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12.95">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12.95">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12.95">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12.95">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12.95">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12.95">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12.9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12.95">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12.95">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12.95">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12.95">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12.95">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12.95">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12.95">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12.95">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12.95">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12.9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12.95">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12.95">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12.95">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12.95">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12.95">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12.95">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12.95">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12.95">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12.95">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12.9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12.95">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12.95">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12.95">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12.95">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12.95">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12.95">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12.95">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12.95">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12.95">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12.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12.95">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12.95">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12.95">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12.95">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12.95">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12.95">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12.95">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12.95">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12.95">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12.9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12.95">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12.95">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12.95">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12.95">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12.95">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12.95">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12.95">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12.95">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12.95">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12.9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12.95">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12.95">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12.95">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12.95">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12.95">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12.95">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12.95">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12.95">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12.95">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12.9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12.95">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12.95">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12.95">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12.95">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12.95">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12.95">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12.95">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12.95">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12.95">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12.9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12.95">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12.95">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12.95">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12.95">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12.95">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12.95">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12.95">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12.95">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12.95">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12.9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12.95">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12.95">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12.95">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12.95">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12.95">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12.95">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12.95">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12.95">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12.95">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12.9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12.95">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12.95">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12.95">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12.95">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12.95">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12.95">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12.95">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12.95">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12.95">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12.9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12.95">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12.95">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12.95">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12.95">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12.95">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12.95">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12.95">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12.95">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12.95">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12.9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12.95">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12.95">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12.95">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12.95">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12.95">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12.95">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12.95">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12.95">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12.95">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12.9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12.95">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12.95">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12.95">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12.95">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12.95">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12.95">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12.95">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12.95">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12.95">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12.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12.95">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12.95">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12.95">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12.95">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12.95">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12.95">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12.95">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12.95">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12.95">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12.9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12.95">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12.95">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12.95">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12.95">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12.95">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12.95">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12.95">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12.95">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12.95">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12.9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12.95">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12.95">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12.95">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12.95">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12.95">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12.95">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12.95">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12.95">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12.95">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12.9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12.95">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12.95">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12.95">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12.95">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12.95">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12.95">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12.95">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12.95">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12.95">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12.9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12.95">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12.95">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12.95">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12.95">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12.95">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12.95">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12.95">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12.95">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12.95">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12.9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12.95">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12.95">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12.95">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12.95">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12.95">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12.95">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12.95">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12.95">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12.95">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12.9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12.95">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12.95">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12.95">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12.95">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12.95">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12.95">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12.95">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12.95">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12.95">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12.9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12.95">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12.95">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12.95">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12.95">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12.95">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12.95">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12.95">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12.95">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12.95">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12.9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12.95">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12.95">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12.95">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12.95">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12.95">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12.95">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12.95">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12.95">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12.95">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12.9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12.95">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12.95">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12.95">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12.95">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12.95">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12.95">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12.95">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12.95">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12.95">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12.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12.95">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12.95">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12.95">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12.95">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12.95">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12.95">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12.95">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12.95">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12.95">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12.9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12.95">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12.95">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12.95">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12.95">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12.95">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12.95">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12.95">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12.95">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12.95">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12.9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12.95">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12.95">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12.95">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12.95">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12.95">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12.95">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12.95">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12.95">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12.95">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12.9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12.95">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12.95">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12.95">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12.95">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12.95">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12.95">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12.95">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12.95">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12.95">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12.9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12.95">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12.95">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12.95">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12.95">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12.95">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12.95">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12.95">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12.95">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12.95">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12.9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12.95">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12.95">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12.95">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12.95">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12.95">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12.95">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12.95">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12.95">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12.95">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12.9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12.95">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12.95">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12.95">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12.95">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12.95">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12.95">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12.95">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12.95">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12.95">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12.9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12.95">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12.95">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12.95">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12.95">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12.95">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12.95">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12.95">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12.95">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12.95">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12.9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12.95">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12.95">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12.95">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12.95">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12.95">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12.95">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12.95">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12.95">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12.95">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12.9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12.95">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12.95">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12.95">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12.95">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12.95">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12.95">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12.95">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12.95">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12.95">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12.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12.95">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12.95">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12.95">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12.95">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12.95">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12.95">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12.95">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12.95">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12.95">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12.9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12.95">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12.95">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12.95">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12.95">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12.95">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12.95">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12.95">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12.95">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12.95">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12.9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12.95">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12.95">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12.95">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12.95">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12.95">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12.95">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12.95">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12.95">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12.95">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12.9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12.95">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12.95">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12.95">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12.95">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12.95">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12.95">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12.95">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12.95">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12.95">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12.9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12.95">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12.95">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12.95">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12.95">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12.95">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12.95">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12.95">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12.95">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12.95">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12.9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12.95">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12.95">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12.95">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12.95">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12.95">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12.95">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12.95">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12.95">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12.95">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12.9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12.95">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12.95">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12.95">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12.95">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12.95">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12.95">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12.95">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12.95">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12.95">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12.9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12.95">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12.95">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12.95">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12.95">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12.95">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12.95">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12.95">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12.95">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12.95">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12.9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12.95">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12.95">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12.95">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12.95">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12.95">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12.95">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12.95">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12.95">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12.95">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12.9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12.95">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12.95">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12.95">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12.95">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12.95">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12.95">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12.95">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12.95">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12.95">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12.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12.95">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12.95">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12.95">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12.95">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12.95">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12.95">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12.95">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12.95">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12.95">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12.9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12.95">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12.95">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12.95">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12.95">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12.95">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12.95">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12.95">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12.95">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12.95">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12.9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12.95">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12.95">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12.95">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12.95">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12.95">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12.95">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12.95">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12.95">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12.95">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12.9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12.95">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12.95">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12.95">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12.95">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12.95">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12.95">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12.95">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12.95">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12.95">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12.9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12.95">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12.95">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12.95">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12.95">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12.95">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12.95">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12.95">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12.95">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12.95">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12.9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12.95">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12.95">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12.95">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12.95">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12.95">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12.95">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12.95">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12.95">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12.95">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12.9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12.95">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12.95">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12.95">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12.95">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12.95">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12.95">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12.95">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12.95">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12.95">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12.9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12.95">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12.95">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12.95">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12.95">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12.95">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12.95">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12.95">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12.95">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12.95">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12.9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12.95">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12.95">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12.95">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spans="1:26" ht="12.95">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spans="1:26" ht="12.95">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spans="1:26" ht="12.95">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spans="1:26" ht="12.95">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spans="1:26" ht="12.95">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spans="1:26" ht="12.95">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spans="1:26" ht="12.9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spans="1:26" ht="12.95">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spans="1:26" ht="12.95">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spans="1:26" ht="12.95">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spans="1:26" ht="12.95">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sheetData>
  <mergeCells count="10">
    <mergeCell ref="A10:H10"/>
    <mergeCell ref="D12:G12"/>
    <mergeCell ref="D13:H13"/>
    <mergeCell ref="D14:H14"/>
    <mergeCell ref="A2:H2"/>
    <mergeCell ref="B4:C6"/>
    <mergeCell ref="D4:H4"/>
    <mergeCell ref="D6:G6"/>
    <mergeCell ref="D7:G7"/>
    <mergeCell ref="A9:H9"/>
  </mergeCells>
  <hyperlinks>
    <hyperlink ref="C13" location="'0. PURSUIT INFO'!A1" display="Pursuit info" xr:uid="{89CA2709-8F92-4BD5-8853-4EDDC0D46E7E}"/>
    <hyperlink ref="C14" location="'1. QUALIFY TOOL'!A1" display="Qualification tool" xr:uid="{890B8DF4-FB55-4056-A366-5221B15B3304}"/>
    <hyperlink ref="A108" location="'2. MANDATORY GOVERNANCE'!A1" display="1. Mandatory Governance " xr:uid="{E9038567-7FDA-4388-8069-88D3291C5D8F}"/>
    <hyperlink ref="A109" location="'3. BEST PRACTICE PURSUIT'!A1" display="2. Best practice Pursuit process" xr:uid="{886F2936-6FFC-4D29-B40A-8046554D81C1}"/>
    <hyperlink ref="A110" location="'b. Timeline'!A1" display="a. Key milestones" xr:uid="{8A4CDECC-BA1D-42BC-BED0-8A43A51B7DA1}"/>
    <hyperlink ref="A111" location="'c. Actions'!A1" display="b. Actions" xr:uid="{73C0EDEC-0699-476B-8658-B3B40FF4DB61}"/>
    <hyperlink ref="A112" location="'i. Value prop'!A1" display="c. Value proposition" xr:uid="{26E5812A-988E-445D-814F-CB0C36426F75}"/>
    <hyperlink ref="A113" location="'g. To clarify'!A1" display="d. Clarification questions" xr:uid="{27F3890D-89A8-4DDE-A9A9-55D764BD8832}"/>
    <hyperlink ref="A114" location="'d. Section allocation'!A1" display="e. Section allocations and status" xr:uid="{E6DEA957-BAC7-4236-9418-C60092D8E1B3}"/>
    <hyperlink ref="A115" location="null!A1" display="f. CV and citation tracker" xr:uid="{186DA0AC-1963-47E1-A8A6-7A6D0BA0B585}"/>
    <hyperlink ref="A116" location="'h. Assumptions'!A1" display="g. Assumptions" xr:uid="{E10AEC4C-AC30-4CCF-A832-B6203FDF6BE5}"/>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04AAE-848E-4943-BF15-63A4F31DA03D}">
  <sheetPr>
    <tabColor rgb="FF066470"/>
  </sheetPr>
  <dimension ref="A1:Y41"/>
  <sheetViews>
    <sheetView tabSelected="1" topLeftCell="A16" zoomScale="120" zoomScaleNormal="120" workbookViewId="0">
      <selection activeCell="B23" sqref="B23"/>
    </sheetView>
  </sheetViews>
  <sheetFormatPr defaultColWidth="8.85546875" defaultRowHeight="12.95"/>
  <cols>
    <col min="1" max="1" width="4.7109375" style="1" customWidth="1"/>
    <col min="2" max="2" width="11" style="3" customWidth="1"/>
    <col min="3" max="6" width="8.85546875" style="3"/>
    <col min="7" max="7" width="18.7109375" style="3" customWidth="1"/>
    <col min="8" max="8" width="11.5703125" style="3" customWidth="1"/>
    <col min="9" max="9" width="10" style="3" customWidth="1"/>
    <col min="10" max="10" width="10.85546875" style="3" customWidth="1"/>
    <col min="11" max="13" width="8.85546875" style="3"/>
    <col min="14" max="14" width="8.85546875" style="3" customWidth="1"/>
    <col min="15" max="15" width="7.7109375" style="3" customWidth="1"/>
    <col min="16" max="16" width="44.28515625" style="3" customWidth="1"/>
    <col min="17" max="17" width="29.140625" style="3" hidden="1" customWidth="1"/>
    <col min="18" max="18" width="8.85546875" style="3"/>
    <col min="19" max="19" width="0" style="3" hidden="1" customWidth="1"/>
    <col min="20" max="16384" width="8.85546875" style="3"/>
  </cols>
  <sheetData>
    <row r="1" spans="1:25" s="1" customFormat="1" ht="20.65" customHeight="1">
      <c r="P1" s="2"/>
      <c r="Q1" s="3"/>
      <c r="R1" s="3"/>
      <c r="S1" s="3"/>
      <c r="T1" s="3"/>
      <c r="U1" s="4"/>
      <c r="V1" s="5"/>
      <c r="W1" s="5"/>
      <c r="X1" s="5"/>
      <c r="Y1" s="5"/>
    </row>
    <row r="2" spans="1:25" ht="48" customHeight="1">
      <c r="A2" s="6"/>
      <c r="B2" s="127" t="s">
        <v>0</v>
      </c>
      <c r="C2" s="127"/>
      <c r="D2" s="127"/>
      <c r="E2" s="127"/>
      <c r="F2" s="127"/>
      <c r="G2" s="127"/>
      <c r="H2" s="127"/>
      <c r="I2" s="127"/>
      <c r="J2" s="127"/>
      <c r="K2" s="127"/>
      <c r="L2" s="127"/>
      <c r="M2" s="127"/>
      <c r="N2" s="127"/>
      <c r="O2" s="127"/>
      <c r="P2" s="7"/>
      <c r="U2" s="7"/>
      <c r="V2" s="7"/>
      <c r="W2" s="7"/>
      <c r="X2" s="7"/>
      <c r="Y2" s="7"/>
    </row>
    <row r="3" spans="1:25" ht="31.9" customHeight="1">
      <c r="B3" s="128" t="s">
        <v>107</v>
      </c>
      <c r="C3" s="129"/>
      <c r="D3" s="129"/>
      <c r="E3" s="129"/>
      <c r="F3" s="129"/>
      <c r="G3" s="129"/>
      <c r="H3" s="129"/>
      <c r="I3" s="129"/>
      <c r="J3" s="129"/>
      <c r="K3" s="129"/>
      <c r="L3" s="129"/>
      <c r="M3" s="129"/>
      <c r="N3" s="129"/>
      <c r="O3" s="130"/>
      <c r="P3" s="7"/>
      <c r="S3" s="8" t="s">
        <v>2</v>
      </c>
      <c r="U3" s="7"/>
      <c r="V3" s="7"/>
      <c r="W3" s="7"/>
      <c r="X3" s="7"/>
      <c r="Y3" s="7"/>
    </row>
    <row r="4" spans="1:25" ht="13.9" customHeight="1">
      <c r="A4" s="6"/>
      <c r="B4" s="131" t="s">
        <v>3</v>
      </c>
      <c r="C4" s="131"/>
      <c r="D4" s="131"/>
      <c r="E4" s="131"/>
      <c r="F4" s="131"/>
      <c r="G4" s="131" t="s">
        <v>4</v>
      </c>
      <c r="H4" s="131"/>
      <c r="I4" s="131"/>
      <c r="J4" s="131"/>
      <c r="K4" s="131"/>
      <c r="L4" s="131"/>
      <c r="M4" s="131"/>
      <c r="N4" s="131"/>
      <c r="O4" s="131"/>
      <c r="P4" s="7"/>
      <c r="S4" s="3" t="s">
        <v>5</v>
      </c>
      <c r="U4" s="7"/>
      <c r="V4" s="7"/>
      <c r="W4" s="7"/>
      <c r="X4" s="7"/>
      <c r="Y4" s="7"/>
    </row>
    <row r="5" spans="1:25" ht="13.9" customHeight="1">
      <c r="A5" s="6"/>
      <c r="B5" s="118" t="s">
        <v>6</v>
      </c>
      <c r="C5" s="118"/>
      <c r="D5" s="117"/>
      <c r="E5" s="117"/>
      <c r="F5" s="117"/>
      <c r="G5" s="119" t="s">
        <v>7</v>
      </c>
      <c r="H5" s="119"/>
      <c r="I5" s="10"/>
      <c r="J5" s="132"/>
      <c r="K5" s="133"/>
      <c r="L5" s="133"/>
      <c r="M5" s="133"/>
      <c r="N5" s="133"/>
      <c r="O5" s="133"/>
      <c r="P5" s="7"/>
      <c r="S5" s="3" t="s">
        <v>8</v>
      </c>
      <c r="U5" s="7"/>
      <c r="V5" s="7"/>
      <c r="W5" s="7"/>
      <c r="X5" s="7"/>
      <c r="Y5" s="7"/>
    </row>
    <row r="6" spans="1:25" ht="29.65" customHeight="1">
      <c r="A6" s="6"/>
      <c r="B6" s="118" t="s">
        <v>108</v>
      </c>
      <c r="C6" s="118"/>
      <c r="D6" s="117"/>
      <c r="E6" s="117"/>
      <c r="F6" s="117"/>
      <c r="G6" s="118" t="s">
        <v>10</v>
      </c>
      <c r="H6" s="118"/>
      <c r="I6" s="9"/>
      <c r="J6" s="117"/>
      <c r="K6" s="117"/>
      <c r="L6" s="117"/>
      <c r="M6" s="117"/>
      <c r="N6" s="117"/>
      <c r="O6" s="117"/>
      <c r="P6" s="7"/>
      <c r="U6" s="7"/>
      <c r="V6" s="7"/>
      <c r="W6" s="7"/>
      <c r="X6" s="7"/>
      <c r="Y6" s="7"/>
    </row>
    <row r="7" spans="1:25" ht="12.95" customHeight="1">
      <c r="A7" s="6"/>
      <c r="B7" s="118" t="s">
        <v>11</v>
      </c>
      <c r="C7" s="118"/>
      <c r="D7" s="117"/>
      <c r="E7" s="117"/>
      <c r="F7" s="117"/>
      <c r="G7" s="118" t="s">
        <v>12</v>
      </c>
      <c r="H7" s="118"/>
      <c r="I7" s="84"/>
      <c r="J7" s="149" t="s">
        <v>109</v>
      </c>
      <c r="K7" s="150"/>
      <c r="L7" s="150"/>
      <c r="M7" s="150"/>
      <c r="N7" s="150"/>
      <c r="O7" s="151"/>
      <c r="P7" s="7"/>
      <c r="U7" s="7"/>
      <c r="V7" s="7"/>
      <c r="W7" s="7"/>
      <c r="X7" s="7"/>
      <c r="Y7" s="7"/>
    </row>
    <row r="8" spans="1:25" ht="13.9" customHeight="1">
      <c r="A8" s="6"/>
      <c r="B8" s="118" t="s">
        <v>14</v>
      </c>
      <c r="C8" s="118"/>
      <c r="D8" s="117"/>
      <c r="E8" s="117"/>
      <c r="F8" s="117"/>
      <c r="G8" s="118" t="s">
        <v>110</v>
      </c>
      <c r="H8" s="118"/>
      <c r="I8" s="9"/>
      <c r="J8" s="149" t="s">
        <v>109</v>
      </c>
      <c r="K8" s="150"/>
      <c r="L8" s="150"/>
      <c r="M8" s="150"/>
      <c r="N8" s="150"/>
      <c r="O8" s="151"/>
      <c r="P8" s="7"/>
      <c r="U8" s="7"/>
      <c r="V8" s="7"/>
      <c r="W8" s="7"/>
      <c r="X8" s="7"/>
      <c r="Y8" s="7"/>
    </row>
    <row r="9" spans="1:25">
      <c r="A9" s="6"/>
      <c r="B9" s="118" t="s">
        <v>15</v>
      </c>
      <c r="C9" s="118"/>
      <c r="D9" s="117"/>
      <c r="E9" s="117"/>
      <c r="F9" s="117"/>
      <c r="G9" s="152"/>
      <c r="H9" s="153"/>
      <c r="I9" s="154"/>
      <c r="J9" s="149"/>
      <c r="K9" s="150"/>
      <c r="L9" s="150"/>
      <c r="M9" s="150"/>
      <c r="N9" s="150"/>
      <c r="O9" s="151"/>
      <c r="P9" s="7"/>
      <c r="U9" s="7"/>
      <c r="V9" s="7"/>
      <c r="W9" s="7"/>
      <c r="X9" s="7"/>
      <c r="Y9" s="7"/>
    </row>
    <row r="10" spans="1:25" ht="107.45" customHeight="1">
      <c r="A10" s="6"/>
      <c r="B10" s="119" t="s">
        <v>16</v>
      </c>
      <c r="C10" s="119"/>
      <c r="D10" s="117" t="s">
        <v>17</v>
      </c>
      <c r="E10" s="117"/>
      <c r="F10" s="117"/>
      <c r="G10" s="117"/>
      <c r="H10" s="117"/>
      <c r="I10" s="117"/>
      <c r="J10" s="117"/>
      <c r="K10" s="117"/>
      <c r="L10" s="117"/>
      <c r="M10" s="117"/>
      <c r="N10" s="117"/>
      <c r="O10" s="117"/>
      <c r="P10" s="7"/>
      <c r="U10" s="7"/>
      <c r="V10" s="7"/>
      <c r="W10" s="7"/>
      <c r="X10" s="7"/>
      <c r="Y10" s="7"/>
    </row>
    <row r="11" spans="1:25">
      <c r="B11" s="120"/>
      <c r="C11" s="121"/>
      <c r="D11" s="121"/>
      <c r="E11" s="121"/>
      <c r="F11" s="121"/>
      <c r="G11" s="121"/>
      <c r="H11" s="121"/>
      <c r="I11" s="121"/>
      <c r="J11" s="121"/>
      <c r="K11" s="121"/>
      <c r="L11" s="121"/>
      <c r="M11" s="121"/>
      <c r="N11" s="121"/>
      <c r="O11" s="122"/>
      <c r="P11" s="7"/>
      <c r="U11" s="7"/>
      <c r="V11" s="7"/>
      <c r="W11" s="7"/>
      <c r="X11" s="7"/>
      <c r="Y11" s="7"/>
    </row>
    <row r="12" spans="1:25" ht="46.5">
      <c r="A12" s="6"/>
      <c r="B12" s="112" t="s">
        <v>18</v>
      </c>
      <c r="C12" s="112"/>
      <c r="D12" s="112"/>
      <c r="E12" s="112"/>
      <c r="F12" s="112"/>
      <c r="G12" s="112"/>
      <c r="H12" s="11" t="s">
        <v>19</v>
      </c>
      <c r="I12" s="11" t="s">
        <v>20</v>
      </c>
      <c r="J12" s="11" t="s">
        <v>21</v>
      </c>
      <c r="K12" s="113" t="s">
        <v>22</v>
      </c>
      <c r="L12" s="113"/>
      <c r="M12" s="113"/>
      <c r="N12" s="113"/>
      <c r="O12" s="114"/>
      <c r="P12" s="12" t="s">
        <v>23</v>
      </c>
      <c r="Q12" s="13"/>
      <c r="R12" s="13"/>
      <c r="S12" s="13"/>
      <c r="T12" s="13"/>
      <c r="U12" s="7"/>
      <c r="V12" s="7"/>
      <c r="W12" s="7"/>
      <c r="X12" s="7"/>
      <c r="Y12" s="7"/>
    </row>
    <row r="13" spans="1:25" ht="14.45">
      <c r="A13" s="6"/>
      <c r="B13" s="110" t="s">
        <v>24</v>
      </c>
      <c r="C13" s="110"/>
      <c r="D13" s="110"/>
      <c r="E13" s="110"/>
      <c r="F13" s="110"/>
      <c r="G13" s="110"/>
      <c r="H13" s="110"/>
      <c r="I13" s="110"/>
      <c r="J13" s="110"/>
      <c r="K13" s="110"/>
      <c r="L13" s="110"/>
      <c r="M13" s="110"/>
      <c r="N13" s="110"/>
      <c r="O13" s="111"/>
      <c r="P13" s="14"/>
      <c r="U13" s="7"/>
      <c r="V13" s="7"/>
      <c r="W13" s="7"/>
      <c r="X13" s="7"/>
      <c r="Y13" s="7"/>
    </row>
    <row r="14" spans="1:25" ht="39">
      <c r="A14" s="6"/>
      <c r="B14" s="15">
        <v>1</v>
      </c>
      <c r="C14" s="107" t="s">
        <v>25</v>
      </c>
      <c r="D14" s="107"/>
      <c r="E14" s="107"/>
      <c r="F14" s="107"/>
      <c r="G14" s="107"/>
      <c r="H14" s="16"/>
      <c r="I14" s="16"/>
      <c r="J14" s="16">
        <v>6</v>
      </c>
      <c r="K14" s="105"/>
      <c r="L14" s="105"/>
      <c r="M14" s="105"/>
      <c r="N14" s="105"/>
      <c r="O14" s="106"/>
      <c r="P14" s="17" t="s">
        <v>26</v>
      </c>
      <c r="Q14" s="18"/>
      <c r="R14" s="18"/>
      <c r="S14" s="18"/>
      <c r="T14" s="18"/>
      <c r="U14" s="7"/>
      <c r="V14" s="7"/>
      <c r="W14" s="7"/>
      <c r="X14" s="7"/>
      <c r="Y14" s="7"/>
    </row>
    <row r="15" spans="1:25" ht="14.45">
      <c r="A15" s="6"/>
      <c r="B15" s="115" t="s">
        <v>27</v>
      </c>
      <c r="C15" s="115"/>
      <c r="D15" s="115"/>
      <c r="E15" s="115"/>
      <c r="F15" s="115"/>
      <c r="G15" s="115"/>
      <c r="H15" s="115"/>
      <c r="I15" s="115"/>
      <c r="J15" s="115"/>
      <c r="K15" s="115"/>
      <c r="L15" s="115"/>
      <c r="M15" s="115"/>
      <c r="N15" s="115"/>
      <c r="O15" s="116"/>
      <c r="P15" s="19"/>
      <c r="Q15" s="20"/>
      <c r="U15" s="7"/>
      <c r="V15" s="7"/>
      <c r="W15" s="7"/>
      <c r="X15" s="7"/>
      <c r="Y15" s="7"/>
    </row>
    <row r="16" spans="1:25" ht="41.65" customHeight="1">
      <c r="A16" s="6"/>
      <c r="B16" s="15">
        <v>2</v>
      </c>
      <c r="C16" s="104" t="s">
        <v>28</v>
      </c>
      <c r="D16" s="104"/>
      <c r="E16" s="104"/>
      <c r="F16" s="104"/>
      <c r="G16" s="104"/>
      <c r="H16" s="16" t="s">
        <v>8</v>
      </c>
      <c r="I16" s="16"/>
      <c r="J16" s="16">
        <v>2</v>
      </c>
      <c r="K16" s="105"/>
      <c r="L16" s="105"/>
      <c r="M16" s="105"/>
      <c r="N16" s="105"/>
      <c r="O16" s="106"/>
      <c r="P16" s="21" t="s">
        <v>29</v>
      </c>
      <c r="Q16" s="20"/>
      <c r="U16" s="7"/>
      <c r="V16" s="7"/>
      <c r="W16" s="7"/>
      <c r="X16" s="7"/>
      <c r="Y16" s="7"/>
    </row>
    <row r="17" spans="1:25" ht="59.45" customHeight="1">
      <c r="A17" s="6"/>
      <c r="B17" s="15">
        <v>3</v>
      </c>
      <c r="C17" s="104" t="s">
        <v>30</v>
      </c>
      <c r="D17" s="104"/>
      <c r="E17" s="104"/>
      <c r="F17" s="104"/>
      <c r="G17" s="104"/>
      <c r="H17" s="16"/>
      <c r="I17" s="16"/>
      <c r="J17" s="16">
        <v>4</v>
      </c>
      <c r="K17" s="105"/>
      <c r="L17" s="105"/>
      <c r="M17" s="105"/>
      <c r="N17" s="105"/>
      <c r="O17" s="106"/>
      <c r="P17" s="22" t="s">
        <v>31</v>
      </c>
      <c r="Q17" s="18" t="s">
        <v>111</v>
      </c>
      <c r="U17" s="7"/>
      <c r="V17" s="7"/>
      <c r="W17" s="7"/>
      <c r="X17" s="7"/>
      <c r="Y17" s="7"/>
    </row>
    <row r="18" spans="1:25" ht="47.45" customHeight="1">
      <c r="A18" s="6"/>
      <c r="B18" s="15">
        <v>4</v>
      </c>
      <c r="C18" s="104" t="s">
        <v>33</v>
      </c>
      <c r="D18" s="104"/>
      <c r="E18" s="104"/>
      <c r="F18" s="104"/>
      <c r="G18" s="104"/>
      <c r="H18" s="16"/>
      <c r="I18" s="16"/>
      <c r="J18" s="16">
        <v>4</v>
      </c>
      <c r="K18" s="105"/>
      <c r="L18" s="105"/>
      <c r="M18" s="105"/>
      <c r="N18" s="105"/>
      <c r="O18" s="106"/>
      <c r="P18" s="23" t="s">
        <v>112</v>
      </c>
      <c r="Q18" s="18" t="s">
        <v>113</v>
      </c>
      <c r="U18" s="7"/>
      <c r="V18" s="7"/>
      <c r="W18" s="7"/>
      <c r="X18" s="7"/>
      <c r="Y18" s="7"/>
    </row>
    <row r="19" spans="1:25" ht="43.9" customHeight="1">
      <c r="A19" s="6"/>
      <c r="B19" s="15">
        <v>5</v>
      </c>
      <c r="C19" s="104" t="s">
        <v>35</v>
      </c>
      <c r="D19" s="104"/>
      <c r="E19" s="104"/>
      <c r="F19" s="104"/>
      <c r="G19" s="104"/>
      <c r="H19" s="16" t="s">
        <v>5</v>
      </c>
      <c r="I19" s="16"/>
      <c r="J19" s="16">
        <v>2</v>
      </c>
      <c r="K19" s="105"/>
      <c r="L19" s="105"/>
      <c r="M19" s="105"/>
      <c r="N19" s="105"/>
      <c r="O19" s="106"/>
      <c r="P19" s="21" t="s">
        <v>29</v>
      </c>
      <c r="Q19" s="18" t="s">
        <v>114</v>
      </c>
      <c r="U19" s="7"/>
      <c r="V19" s="7"/>
      <c r="W19" s="7"/>
      <c r="X19" s="7"/>
      <c r="Y19" s="7"/>
    </row>
    <row r="20" spans="1:25" ht="14.45">
      <c r="A20" s="6"/>
      <c r="B20" s="110" t="s">
        <v>36</v>
      </c>
      <c r="C20" s="110"/>
      <c r="D20" s="110"/>
      <c r="E20" s="110"/>
      <c r="F20" s="110"/>
      <c r="G20" s="110"/>
      <c r="H20" s="110"/>
      <c r="I20" s="110"/>
      <c r="J20" s="110"/>
      <c r="K20" s="110"/>
      <c r="L20" s="110"/>
      <c r="M20" s="110"/>
      <c r="N20" s="110"/>
      <c r="O20" s="111"/>
      <c r="P20" s="19"/>
      <c r="Q20" s="20"/>
      <c r="U20" s="7"/>
      <c r="V20" s="7"/>
      <c r="W20" s="7"/>
      <c r="X20" s="7"/>
      <c r="Y20" s="7"/>
    </row>
    <row r="21" spans="1:25" ht="42" customHeight="1">
      <c r="A21" s="6"/>
      <c r="B21" s="15">
        <v>6</v>
      </c>
      <c r="C21" s="107" t="s">
        <v>37</v>
      </c>
      <c r="D21" s="107"/>
      <c r="E21" s="107"/>
      <c r="F21" s="107"/>
      <c r="G21" s="107"/>
      <c r="H21" s="16" t="s">
        <v>5</v>
      </c>
      <c r="I21" s="16"/>
      <c r="J21" s="16">
        <v>2</v>
      </c>
      <c r="K21" s="105"/>
      <c r="L21" s="105"/>
      <c r="M21" s="105"/>
      <c r="N21" s="105"/>
      <c r="O21" s="106"/>
      <c r="P21" s="21" t="s">
        <v>29</v>
      </c>
      <c r="Q21" s="20"/>
      <c r="U21" s="7"/>
      <c r="V21" s="7"/>
      <c r="W21" s="7"/>
      <c r="X21" s="7"/>
      <c r="Y21" s="7"/>
    </row>
    <row r="22" spans="1:25" ht="46.15" customHeight="1">
      <c r="A22" s="6"/>
      <c r="B22" s="15">
        <v>7</v>
      </c>
      <c r="C22" s="104" t="s">
        <v>38</v>
      </c>
      <c r="D22" s="104"/>
      <c r="E22" s="104"/>
      <c r="F22" s="104"/>
      <c r="G22" s="104"/>
      <c r="H22" s="16" t="s">
        <v>5</v>
      </c>
      <c r="I22" s="16"/>
      <c r="J22" s="16">
        <v>2</v>
      </c>
      <c r="K22" s="105"/>
      <c r="L22" s="105"/>
      <c r="M22" s="105"/>
      <c r="N22" s="105"/>
      <c r="O22" s="106"/>
      <c r="P22" s="21" t="s">
        <v>29</v>
      </c>
      <c r="Q22" s="20"/>
      <c r="U22" s="7"/>
      <c r="V22" s="7"/>
      <c r="W22" s="7"/>
      <c r="X22" s="7"/>
      <c r="Y22" s="7"/>
    </row>
    <row r="23" spans="1:25" ht="43.9" customHeight="1">
      <c r="A23" s="6"/>
      <c r="B23" s="15">
        <v>8</v>
      </c>
      <c r="C23" s="107" t="s">
        <v>39</v>
      </c>
      <c r="D23" s="107"/>
      <c r="E23" s="107"/>
      <c r="F23" s="107"/>
      <c r="G23" s="107"/>
      <c r="H23" s="16" t="s">
        <v>5</v>
      </c>
      <c r="I23" s="16"/>
      <c r="J23" s="16">
        <v>2</v>
      </c>
      <c r="K23" s="105"/>
      <c r="L23" s="105"/>
      <c r="M23" s="105"/>
      <c r="N23" s="105"/>
      <c r="O23" s="106"/>
      <c r="P23" s="21" t="s">
        <v>29</v>
      </c>
      <c r="U23" s="7"/>
      <c r="V23" s="7"/>
      <c r="W23" s="7"/>
      <c r="X23" s="7"/>
      <c r="Y23" s="7"/>
    </row>
    <row r="24" spans="1:25" ht="14.45">
      <c r="A24" s="6"/>
      <c r="B24" s="110" t="s">
        <v>40</v>
      </c>
      <c r="C24" s="110"/>
      <c r="D24" s="110"/>
      <c r="E24" s="110"/>
      <c r="F24" s="110"/>
      <c r="G24" s="110"/>
      <c r="H24" s="110"/>
      <c r="I24" s="110"/>
      <c r="J24" s="110"/>
      <c r="K24" s="110"/>
      <c r="L24" s="110"/>
      <c r="M24" s="110"/>
      <c r="N24" s="110"/>
      <c r="O24" s="111"/>
      <c r="P24" s="19"/>
      <c r="U24" s="7"/>
      <c r="V24" s="7"/>
      <c r="W24" s="7"/>
      <c r="X24" s="7"/>
      <c r="Y24" s="7"/>
    </row>
    <row r="25" spans="1:25" ht="61.15" customHeight="1">
      <c r="A25" s="6"/>
      <c r="B25" s="15">
        <v>9</v>
      </c>
      <c r="C25" s="107" t="s">
        <v>41</v>
      </c>
      <c r="D25" s="107"/>
      <c r="E25" s="107"/>
      <c r="F25" s="107"/>
      <c r="G25" s="107"/>
      <c r="H25" s="16"/>
      <c r="I25" s="16"/>
      <c r="J25" s="16">
        <v>4</v>
      </c>
      <c r="K25" s="105"/>
      <c r="L25" s="105"/>
      <c r="M25" s="105"/>
      <c r="N25" s="105"/>
      <c r="O25" s="106"/>
      <c r="P25" s="21" t="s">
        <v>34</v>
      </c>
      <c r="U25" s="7"/>
      <c r="V25" s="7"/>
      <c r="W25" s="7"/>
      <c r="X25" s="7"/>
      <c r="Y25" s="7"/>
    </row>
    <row r="26" spans="1:25" ht="39.6" customHeight="1">
      <c r="A26" s="6"/>
      <c r="B26" s="15">
        <v>10</v>
      </c>
      <c r="C26" s="104" t="s">
        <v>42</v>
      </c>
      <c r="D26" s="104"/>
      <c r="E26" s="104"/>
      <c r="F26" s="104"/>
      <c r="G26" s="104"/>
      <c r="H26" s="16" t="s">
        <v>5</v>
      </c>
      <c r="I26" s="16"/>
      <c r="J26" s="16">
        <v>2</v>
      </c>
      <c r="K26" s="105"/>
      <c r="L26" s="105"/>
      <c r="M26" s="105"/>
      <c r="N26" s="105"/>
      <c r="O26" s="106"/>
      <c r="P26" s="21" t="s">
        <v>29</v>
      </c>
      <c r="U26" s="7"/>
      <c r="V26" s="7"/>
      <c r="W26" s="7"/>
      <c r="X26" s="7"/>
      <c r="Y26" s="7"/>
    </row>
    <row r="27" spans="1:25" ht="14.45">
      <c r="A27" s="6"/>
      <c r="B27" s="110" t="s">
        <v>43</v>
      </c>
      <c r="C27" s="110"/>
      <c r="D27" s="110"/>
      <c r="E27" s="110"/>
      <c r="F27" s="110"/>
      <c r="G27" s="110"/>
      <c r="H27" s="110"/>
      <c r="I27" s="110"/>
      <c r="J27" s="110"/>
      <c r="K27" s="110"/>
      <c r="L27" s="110"/>
      <c r="M27" s="110"/>
      <c r="N27" s="110"/>
      <c r="O27" s="111"/>
      <c r="P27" s="19"/>
      <c r="U27" s="7"/>
      <c r="V27" s="7"/>
      <c r="W27" s="7"/>
      <c r="X27" s="7"/>
      <c r="Y27" s="7"/>
    </row>
    <row r="28" spans="1:25" ht="38.65" customHeight="1">
      <c r="A28" s="6"/>
      <c r="B28" s="15">
        <v>11</v>
      </c>
      <c r="C28" s="107" t="s">
        <v>44</v>
      </c>
      <c r="D28" s="107"/>
      <c r="E28" s="107"/>
      <c r="F28" s="107"/>
      <c r="G28" s="107"/>
      <c r="H28" s="16" t="s">
        <v>8</v>
      </c>
      <c r="I28" s="16"/>
      <c r="J28" s="16">
        <v>2</v>
      </c>
      <c r="K28" s="105" t="s">
        <v>45</v>
      </c>
      <c r="L28" s="105"/>
      <c r="M28" s="105"/>
      <c r="N28" s="105"/>
      <c r="O28" s="106"/>
      <c r="P28" s="21" t="s">
        <v>29</v>
      </c>
      <c r="U28" s="7"/>
      <c r="V28" s="7"/>
      <c r="W28" s="7"/>
      <c r="X28" s="7"/>
      <c r="Y28" s="7"/>
    </row>
    <row r="29" spans="1:25" ht="42.6" customHeight="1">
      <c r="A29" s="6"/>
      <c r="B29" s="15">
        <v>12</v>
      </c>
      <c r="C29" s="107" t="s">
        <v>46</v>
      </c>
      <c r="D29" s="107"/>
      <c r="E29" s="107"/>
      <c r="F29" s="107"/>
      <c r="G29" s="107"/>
      <c r="H29" s="16" t="s">
        <v>5</v>
      </c>
      <c r="I29" s="16"/>
      <c r="J29" s="16">
        <v>2</v>
      </c>
      <c r="K29" s="105" t="s">
        <v>45</v>
      </c>
      <c r="L29" s="105"/>
      <c r="M29" s="105"/>
      <c r="N29" s="105"/>
      <c r="O29" s="106"/>
      <c r="P29" s="21" t="s">
        <v>29</v>
      </c>
      <c r="U29" s="7"/>
      <c r="V29" s="7"/>
      <c r="W29" s="7"/>
      <c r="X29" s="7"/>
      <c r="Y29" s="7"/>
    </row>
    <row r="30" spans="1:25" ht="14.45">
      <c r="A30" s="6"/>
      <c r="B30" s="110" t="s">
        <v>47</v>
      </c>
      <c r="C30" s="110"/>
      <c r="D30" s="110"/>
      <c r="E30" s="110"/>
      <c r="F30" s="110"/>
      <c r="G30" s="110"/>
      <c r="H30" s="110"/>
      <c r="I30" s="110"/>
      <c r="J30" s="110"/>
      <c r="K30" s="110"/>
      <c r="L30" s="110"/>
      <c r="M30" s="110"/>
      <c r="N30" s="110"/>
      <c r="O30" s="111"/>
      <c r="P30" s="19"/>
      <c r="U30" s="7"/>
      <c r="V30" s="7"/>
      <c r="W30" s="7"/>
      <c r="X30" s="7"/>
      <c r="Y30" s="7"/>
    </row>
    <row r="31" spans="1:25" ht="37.9" customHeight="1">
      <c r="A31" s="6"/>
      <c r="B31" s="15">
        <v>13</v>
      </c>
      <c r="C31" s="104" t="s">
        <v>48</v>
      </c>
      <c r="D31" s="104"/>
      <c r="E31" s="104"/>
      <c r="F31" s="104"/>
      <c r="G31" s="104"/>
      <c r="H31" s="16" t="s">
        <v>8</v>
      </c>
      <c r="I31" s="16"/>
      <c r="J31" s="16">
        <v>2</v>
      </c>
      <c r="K31" s="105" t="s">
        <v>45</v>
      </c>
      <c r="L31" s="105"/>
      <c r="M31" s="105"/>
      <c r="N31" s="105"/>
      <c r="O31" s="106"/>
      <c r="P31" s="21" t="s">
        <v>29</v>
      </c>
      <c r="U31" s="7"/>
      <c r="V31" s="7"/>
      <c r="W31" s="7"/>
      <c r="X31" s="7"/>
      <c r="Y31" s="7"/>
    </row>
    <row r="32" spans="1:25" ht="38.65" customHeight="1">
      <c r="A32" s="6"/>
      <c r="B32" s="15">
        <v>14</v>
      </c>
      <c r="C32" s="107" t="s">
        <v>49</v>
      </c>
      <c r="D32" s="107"/>
      <c r="E32" s="107"/>
      <c r="F32" s="107"/>
      <c r="G32" s="107"/>
      <c r="H32" s="16" t="s">
        <v>8</v>
      </c>
      <c r="I32" s="16"/>
      <c r="J32" s="16">
        <v>4</v>
      </c>
      <c r="K32" s="105" t="s">
        <v>45</v>
      </c>
      <c r="L32" s="105"/>
      <c r="M32" s="105"/>
      <c r="N32" s="105"/>
      <c r="O32" s="106"/>
      <c r="P32" s="21" t="s">
        <v>29</v>
      </c>
      <c r="U32" s="7"/>
      <c r="V32" s="7"/>
      <c r="W32" s="7"/>
      <c r="X32" s="7"/>
      <c r="Y32" s="7"/>
    </row>
    <row r="33" spans="1:25" ht="39" customHeight="1">
      <c r="B33" s="24"/>
      <c r="C33" s="95" t="s">
        <v>50</v>
      </c>
      <c r="D33" s="96"/>
      <c r="E33" s="96"/>
      <c r="F33" s="96"/>
      <c r="G33" s="97"/>
      <c r="H33" s="25"/>
      <c r="I33" s="26">
        <f>SUM(I14,I16:I19,I21:I23,I25:I26,I28:I29,I31:I32)</f>
        <v>0</v>
      </c>
      <c r="J33" s="26">
        <v>32</v>
      </c>
      <c r="K33" s="108"/>
      <c r="L33" s="108"/>
      <c r="M33" s="108"/>
      <c r="N33" s="108"/>
      <c r="O33" s="109"/>
      <c r="P33" s="42"/>
      <c r="U33" s="7"/>
      <c r="V33" s="7"/>
      <c r="W33" s="7"/>
      <c r="X33" s="7"/>
      <c r="Y33" s="7"/>
    </row>
    <row r="34" spans="1:25" ht="31.9" customHeight="1">
      <c r="A34" s="6"/>
      <c r="B34" s="27"/>
      <c r="C34" s="100" t="s">
        <v>51</v>
      </c>
      <c r="D34" s="101"/>
      <c r="E34" s="101"/>
      <c r="F34" s="101"/>
      <c r="G34" s="101"/>
      <c r="H34" s="101"/>
      <c r="I34" s="101"/>
      <c r="J34" s="101"/>
      <c r="K34" s="101"/>
      <c r="L34" s="101"/>
      <c r="M34" s="101"/>
      <c r="N34" s="101"/>
      <c r="O34" s="101"/>
      <c r="P34" s="43"/>
      <c r="U34" s="7"/>
      <c r="V34" s="7"/>
      <c r="W34" s="7"/>
      <c r="X34" s="7"/>
      <c r="Y34" s="7"/>
    </row>
    <row r="35" spans="1:25" ht="138" customHeight="1">
      <c r="A35" s="6"/>
      <c r="B35" s="27"/>
      <c r="C35" s="87" t="s">
        <v>52</v>
      </c>
      <c r="D35" s="87"/>
      <c r="E35" s="87"/>
      <c r="F35" s="87"/>
      <c r="G35" s="87"/>
      <c r="H35" s="88" t="s">
        <v>53</v>
      </c>
      <c r="I35" s="88"/>
      <c r="J35" s="88"/>
      <c r="K35" s="88"/>
      <c r="L35" s="102"/>
      <c r="M35" s="102"/>
      <c r="N35" s="102"/>
      <c r="O35" s="103"/>
      <c r="P35" s="44"/>
      <c r="U35" s="7"/>
      <c r="V35" s="7"/>
      <c r="W35" s="7"/>
      <c r="X35" s="7"/>
      <c r="Y35" s="7"/>
    </row>
    <row r="36" spans="1:25" ht="102" customHeight="1">
      <c r="A36" s="6"/>
      <c r="B36" s="27"/>
      <c r="C36" s="87" t="s">
        <v>54</v>
      </c>
      <c r="D36" s="87"/>
      <c r="E36" s="87"/>
      <c r="F36" s="87"/>
      <c r="G36" s="87"/>
      <c r="H36" s="88" t="s">
        <v>55</v>
      </c>
      <c r="I36" s="88"/>
      <c r="J36" s="88"/>
      <c r="K36" s="88"/>
      <c r="L36" s="102"/>
      <c r="M36" s="102"/>
      <c r="N36" s="102"/>
      <c r="O36" s="103"/>
      <c r="P36" s="44"/>
      <c r="U36" s="7"/>
      <c r="V36" s="7"/>
      <c r="W36" s="7"/>
      <c r="X36" s="7"/>
      <c r="Y36" s="7"/>
    </row>
    <row r="37" spans="1:25" ht="51" customHeight="1">
      <c r="A37" s="5"/>
      <c r="B37" s="24"/>
      <c r="C37" s="95" t="s">
        <v>56</v>
      </c>
      <c r="D37" s="96"/>
      <c r="E37" s="96"/>
      <c r="F37" s="96"/>
      <c r="G37" s="97"/>
      <c r="H37" s="98" t="s">
        <v>57</v>
      </c>
      <c r="I37" s="99"/>
      <c r="J37" s="99"/>
      <c r="K37" s="99"/>
      <c r="L37" s="99" t="s">
        <v>58</v>
      </c>
      <c r="M37" s="99"/>
      <c r="N37" s="99"/>
      <c r="O37" s="99"/>
      <c r="P37" s="45"/>
      <c r="U37" s="7"/>
      <c r="V37" s="7"/>
      <c r="W37" s="7"/>
      <c r="X37" s="7"/>
      <c r="Y37" s="7"/>
    </row>
    <row r="38" spans="1:25" ht="189.6" customHeight="1">
      <c r="A38" s="5"/>
      <c r="B38" s="27" t="s">
        <v>115</v>
      </c>
      <c r="C38" s="87" t="s">
        <v>116</v>
      </c>
      <c r="D38" s="87"/>
      <c r="E38" s="87"/>
      <c r="F38" s="87"/>
      <c r="G38" s="87"/>
      <c r="H38" s="88" t="s">
        <v>117</v>
      </c>
      <c r="I38" s="88"/>
      <c r="J38" s="88"/>
      <c r="K38" s="88"/>
      <c r="L38" s="92" t="s">
        <v>118</v>
      </c>
      <c r="M38" s="93"/>
      <c r="N38" s="93"/>
      <c r="O38" s="94"/>
      <c r="P38" s="7"/>
      <c r="U38" s="7"/>
      <c r="V38" s="7"/>
      <c r="W38" s="7"/>
      <c r="X38" s="7"/>
      <c r="Y38" s="7"/>
    </row>
    <row r="39" spans="1:25" ht="216.95" customHeight="1">
      <c r="A39" s="5"/>
      <c r="B39" s="27" t="s">
        <v>119</v>
      </c>
      <c r="C39" s="87" t="s">
        <v>64</v>
      </c>
      <c r="D39" s="87"/>
      <c r="E39" s="87"/>
      <c r="F39" s="87"/>
      <c r="G39" s="87"/>
      <c r="H39" s="88" t="s">
        <v>120</v>
      </c>
      <c r="I39" s="88"/>
      <c r="J39" s="88"/>
      <c r="K39" s="88"/>
      <c r="L39" s="92" t="s">
        <v>121</v>
      </c>
      <c r="M39" s="93"/>
      <c r="N39" s="93"/>
      <c r="O39" s="94"/>
      <c r="P39" s="7"/>
      <c r="U39" s="7"/>
      <c r="V39" s="7"/>
      <c r="W39" s="7"/>
      <c r="X39" s="7"/>
      <c r="Y39" s="7"/>
    </row>
    <row r="40" spans="1:25" ht="172.5" customHeight="1">
      <c r="A40" s="5"/>
      <c r="B40" s="27" t="s">
        <v>122</v>
      </c>
      <c r="C40" s="87" t="s">
        <v>123</v>
      </c>
      <c r="D40" s="87"/>
      <c r="E40" s="87"/>
      <c r="F40" s="87"/>
      <c r="G40" s="87"/>
      <c r="H40" s="88" t="s">
        <v>124</v>
      </c>
      <c r="I40" s="88"/>
      <c r="J40" s="88"/>
      <c r="K40" s="88"/>
      <c r="L40" s="92" t="s">
        <v>125</v>
      </c>
      <c r="M40" s="93"/>
      <c r="N40" s="93"/>
      <c r="O40" s="94"/>
      <c r="P40" s="7"/>
      <c r="U40" s="7"/>
      <c r="V40" s="7"/>
      <c r="W40" s="7"/>
      <c r="X40" s="7"/>
      <c r="Y40" s="7"/>
    </row>
    <row r="41" spans="1:25">
      <c r="A41" s="5"/>
      <c r="B41" s="27"/>
      <c r="C41" s="87"/>
      <c r="D41" s="87"/>
      <c r="E41" s="87"/>
      <c r="F41" s="87"/>
      <c r="G41" s="87"/>
      <c r="H41" s="88"/>
      <c r="I41" s="88"/>
      <c r="J41" s="88"/>
      <c r="K41" s="88"/>
      <c r="L41" s="89"/>
      <c r="M41" s="90"/>
      <c r="N41" s="90"/>
      <c r="O41" s="91"/>
      <c r="P41" s="7"/>
      <c r="U41" s="7"/>
      <c r="V41" s="7"/>
      <c r="W41" s="7"/>
      <c r="X41" s="7"/>
      <c r="Y41" s="7"/>
    </row>
  </sheetData>
  <mergeCells count="87">
    <mergeCell ref="G8:H8"/>
    <mergeCell ref="B2:O2"/>
    <mergeCell ref="B3:O3"/>
    <mergeCell ref="B4:F4"/>
    <mergeCell ref="G4:O4"/>
    <mergeCell ref="B5:C5"/>
    <mergeCell ref="D5:F5"/>
    <mergeCell ref="G5:H5"/>
    <mergeCell ref="J5:O5"/>
    <mergeCell ref="B6:C6"/>
    <mergeCell ref="D6:F6"/>
    <mergeCell ref="G6:H6"/>
    <mergeCell ref="J6:O6"/>
    <mergeCell ref="B7:C7"/>
    <mergeCell ref="D7:F7"/>
    <mergeCell ref="G7:H7"/>
    <mergeCell ref="J7:O7"/>
    <mergeCell ref="B15:O15"/>
    <mergeCell ref="D8:F8"/>
    <mergeCell ref="B9:C9"/>
    <mergeCell ref="D9:F9"/>
    <mergeCell ref="B10:C10"/>
    <mergeCell ref="D10:O10"/>
    <mergeCell ref="B11:O11"/>
    <mergeCell ref="B12:G12"/>
    <mergeCell ref="K12:O12"/>
    <mergeCell ref="B13:O13"/>
    <mergeCell ref="C14:G14"/>
    <mergeCell ref="K14:O14"/>
    <mergeCell ref="J8:O8"/>
    <mergeCell ref="J9:O9"/>
    <mergeCell ref="G9:I9"/>
    <mergeCell ref="B8:C8"/>
    <mergeCell ref="C22:G22"/>
    <mergeCell ref="K22:O22"/>
    <mergeCell ref="C16:G16"/>
    <mergeCell ref="K16:O16"/>
    <mergeCell ref="C17:G17"/>
    <mergeCell ref="K17:O17"/>
    <mergeCell ref="C18:G18"/>
    <mergeCell ref="K18:O18"/>
    <mergeCell ref="C19:G19"/>
    <mergeCell ref="K19:O19"/>
    <mergeCell ref="B20:O20"/>
    <mergeCell ref="C21:G21"/>
    <mergeCell ref="K21:O21"/>
    <mergeCell ref="B30:O30"/>
    <mergeCell ref="C23:G23"/>
    <mergeCell ref="K23:O23"/>
    <mergeCell ref="B24:O24"/>
    <mergeCell ref="C25:G25"/>
    <mergeCell ref="K25:O25"/>
    <mergeCell ref="C26:G26"/>
    <mergeCell ref="K26:O26"/>
    <mergeCell ref="B27:O27"/>
    <mergeCell ref="C28:G28"/>
    <mergeCell ref="K28:O28"/>
    <mergeCell ref="C29:G29"/>
    <mergeCell ref="K29:O29"/>
    <mergeCell ref="C31:G31"/>
    <mergeCell ref="K31:O31"/>
    <mergeCell ref="C32:G32"/>
    <mergeCell ref="K32:O32"/>
    <mergeCell ref="C33:G33"/>
    <mergeCell ref="K33:O33"/>
    <mergeCell ref="C34:O34"/>
    <mergeCell ref="C35:G35"/>
    <mergeCell ref="H35:K35"/>
    <mergeCell ref="L35:O35"/>
    <mergeCell ref="C36:G36"/>
    <mergeCell ref="H36:K36"/>
    <mergeCell ref="L36:O36"/>
    <mergeCell ref="C39:G39"/>
    <mergeCell ref="H39:K39"/>
    <mergeCell ref="L39:O39"/>
    <mergeCell ref="C37:G37"/>
    <mergeCell ref="H37:K37"/>
    <mergeCell ref="L37:O37"/>
    <mergeCell ref="C38:G38"/>
    <mergeCell ref="H38:K38"/>
    <mergeCell ref="L38:O38"/>
    <mergeCell ref="C41:G41"/>
    <mergeCell ref="H41:K41"/>
    <mergeCell ref="L41:O41"/>
    <mergeCell ref="C40:G40"/>
    <mergeCell ref="H40:K40"/>
    <mergeCell ref="L40:O40"/>
  </mergeCells>
  <dataValidations count="1">
    <dataValidation type="list" allowBlank="1" showInputMessage="1" showErrorMessage="1" sqref="H14 H31:H32 H28:H29 H25:H26 H21:H23 H16:H19" xr:uid="{C2BC5353-AD73-4E84-95E3-39BB8EC19168}">
      <formula1>$S$4:$S$5</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CF7A3-07AB-4511-8F35-500315ED6566}">
  <sheetPr>
    <tabColor rgb="FF484B5D"/>
  </sheetPr>
  <dimension ref="A1:N14"/>
  <sheetViews>
    <sheetView topLeftCell="A9" workbookViewId="0">
      <selection activeCell="F5" sqref="F5:F14"/>
    </sheetView>
  </sheetViews>
  <sheetFormatPr defaultColWidth="8.7109375" defaultRowHeight="14.45"/>
  <cols>
    <col min="1" max="1" width="29.42578125" style="28" customWidth="1"/>
    <col min="2" max="2" width="12.42578125" style="28" customWidth="1"/>
    <col min="3" max="3" width="34.42578125" style="28" customWidth="1"/>
    <col min="4" max="4" width="35.140625" style="28" customWidth="1"/>
    <col min="5" max="5" width="43.85546875" style="28" customWidth="1"/>
    <col min="6" max="6" width="20.28515625" style="28" customWidth="1"/>
    <col min="7" max="7" width="39" style="28" customWidth="1"/>
    <col min="8" max="16384" width="8.7109375" style="28"/>
  </cols>
  <sheetData>
    <row r="1" spans="1:14" ht="39" customHeight="1">
      <c r="A1" s="86" t="s">
        <v>126</v>
      </c>
      <c r="B1" s="86"/>
      <c r="C1" s="86"/>
      <c r="D1" s="86"/>
      <c r="E1" s="86"/>
      <c r="F1" s="86"/>
      <c r="G1" s="86"/>
      <c r="H1" s="86"/>
      <c r="I1" s="86"/>
      <c r="J1" s="86"/>
      <c r="K1" s="86"/>
      <c r="L1" s="86"/>
      <c r="M1" s="86"/>
      <c r="N1" s="86"/>
    </row>
    <row r="2" spans="1:14" ht="29.45" customHeight="1"/>
    <row r="3" spans="1:14" s="31" customFormat="1" ht="29.1">
      <c r="A3" s="29" t="s">
        <v>127</v>
      </c>
      <c r="B3" s="29" t="s">
        <v>128</v>
      </c>
      <c r="C3" s="29" t="s">
        <v>129</v>
      </c>
      <c r="D3" s="29" t="s">
        <v>130</v>
      </c>
      <c r="E3" s="29" t="s">
        <v>131</v>
      </c>
      <c r="F3" s="30" t="s">
        <v>132</v>
      </c>
      <c r="G3" s="30" t="s">
        <v>133</v>
      </c>
    </row>
    <row r="4" spans="1:14" s="35" customFormat="1" ht="144.94999999999999">
      <c r="A4" s="41" t="s">
        <v>134</v>
      </c>
      <c r="B4" s="32">
        <v>0.01</v>
      </c>
      <c r="C4" s="33" t="s">
        <v>135</v>
      </c>
      <c r="D4" s="34" t="s">
        <v>136</v>
      </c>
      <c r="E4" s="34" t="s">
        <v>137</v>
      </c>
      <c r="F4" s="85" t="s">
        <v>45</v>
      </c>
      <c r="G4" s="34"/>
    </row>
    <row r="5" spans="1:14" s="35" customFormat="1" ht="101.45">
      <c r="A5" s="41" t="s">
        <v>138</v>
      </c>
      <c r="B5" s="32">
        <v>0.01</v>
      </c>
      <c r="C5" s="33" t="s">
        <v>139</v>
      </c>
      <c r="D5" s="34" t="s">
        <v>140</v>
      </c>
      <c r="E5" s="34" t="s">
        <v>141</v>
      </c>
      <c r="F5" s="85" t="s">
        <v>45</v>
      </c>
      <c r="G5" s="34"/>
    </row>
    <row r="6" spans="1:14" s="35" customFormat="1" ht="116.1">
      <c r="A6" s="39" t="s">
        <v>142</v>
      </c>
      <c r="B6" s="36">
        <v>0.1</v>
      </c>
      <c r="C6" s="37" t="s">
        <v>143</v>
      </c>
      <c r="D6" s="38" t="s">
        <v>144</v>
      </c>
      <c r="E6" s="38" t="s">
        <v>145</v>
      </c>
      <c r="F6" s="85" t="s">
        <v>45</v>
      </c>
      <c r="G6" s="38"/>
    </row>
    <row r="7" spans="1:14" s="35" customFormat="1" ht="116.1">
      <c r="A7" s="39" t="s">
        <v>146</v>
      </c>
      <c r="B7" s="36">
        <v>0.1</v>
      </c>
      <c r="C7" s="37" t="s">
        <v>147</v>
      </c>
      <c r="D7" s="38" t="s">
        <v>144</v>
      </c>
      <c r="E7" s="38" t="s">
        <v>148</v>
      </c>
      <c r="F7" s="85" t="s">
        <v>45</v>
      </c>
      <c r="G7" s="38"/>
    </row>
    <row r="8" spans="1:14" s="35" customFormat="1" ht="101.45">
      <c r="A8" s="39" t="s">
        <v>149</v>
      </c>
      <c r="B8" s="36">
        <v>0.1</v>
      </c>
      <c r="C8" s="37" t="s">
        <v>150</v>
      </c>
      <c r="D8" s="38" t="s">
        <v>151</v>
      </c>
      <c r="E8" s="38" t="s">
        <v>152</v>
      </c>
      <c r="F8" s="85" t="s">
        <v>45</v>
      </c>
      <c r="G8" s="38"/>
    </row>
    <row r="9" spans="1:14" s="35" customFormat="1" ht="101.45">
      <c r="A9" s="39" t="s">
        <v>153</v>
      </c>
      <c r="B9" s="36">
        <v>0.1</v>
      </c>
      <c r="C9" s="37" t="s">
        <v>154</v>
      </c>
      <c r="D9" s="38" t="s">
        <v>155</v>
      </c>
      <c r="E9" s="38" t="s">
        <v>156</v>
      </c>
      <c r="F9" s="85" t="s">
        <v>45</v>
      </c>
      <c r="G9" s="38"/>
    </row>
    <row r="10" spans="1:14" s="35" customFormat="1" ht="101.45">
      <c r="A10" s="39" t="s">
        <v>157</v>
      </c>
      <c r="B10" s="36">
        <v>0.1</v>
      </c>
      <c r="C10" s="39" t="s">
        <v>158</v>
      </c>
      <c r="D10" s="40" t="s">
        <v>159</v>
      </c>
      <c r="E10" s="40" t="s">
        <v>160</v>
      </c>
      <c r="F10" s="85" t="s">
        <v>45</v>
      </c>
      <c r="G10" s="40"/>
    </row>
    <row r="11" spans="1:14" s="35" customFormat="1" ht="101.45">
      <c r="A11" s="39" t="s">
        <v>161</v>
      </c>
      <c r="B11" s="36">
        <v>0.1</v>
      </c>
      <c r="C11" s="37" t="s">
        <v>162</v>
      </c>
      <c r="D11" s="38" t="s">
        <v>163</v>
      </c>
      <c r="E11" s="38" t="s">
        <v>164</v>
      </c>
      <c r="F11" s="85" t="s">
        <v>45</v>
      </c>
      <c r="G11" s="38"/>
    </row>
    <row r="12" spans="1:14" s="35" customFormat="1" ht="144.94999999999999">
      <c r="A12" s="39" t="s">
        <v>165</v>
      </c>
      <c r="B12" s="36">
        <v>0.1</v>
      </c>
      <c r="C12" s="37" t="s">
        <v>166</v>
      </c>
      <c r="D12" s="38" t="s">
        <v>167</v>
      </c>
      <c r="E12" s="38" t="s">
        <v>168</v>
      </c>
      <c r="F12" s="85" t="s">
        <v>45</v>
      </c>
      <c r="G12" s="38"/>
    </row>
    <row r="13" spans="1:14" s="35" customFormat="1" ht="87">
      <c r="A13" s="39" t="s">
        <v>169</v>
      </c>
      <c r="B13" s="36">
        <v>0.1</v>
      </c>
      <c r="C13" s="37" t="s">
        <v>170</v>
      </c>
      <c r="D13" s="38" t="s">
        <v>171</v>
      </c>
      <c r="E13" s="38" t="s">
        <v>172</v>
      </c>
      <c r="F13" s="85" t="s">
        <v>45</v>
      </c>
      <c r="G13" s="38"/>
    </row>
    <row r="14" spans="1:14" s="35" customFormat="1" ht="99.95" customHeight="1">
      <c r="A14" s="39" t="s">
        <v>173</v>
      </c>
      <c r="B14" s="36">
        <v>0.1</v>
      </c>
      <c r="C14" s="37" t="s">
        <v>174</v>
      </c>
      <c r="D14" s="38" t="s">
        <v>175</v>
      </c>
      <c r="E14" s="38" t="s">
        <v>176</v>
      </c>
      <c r="F14" s="85" t="s">
        <v>45</v>
      </c>
      <c r="G14" s="38"/>
    </row>
  </sheetData>
  <mergeCells count="1">
    <mergeCell ref="A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BB214-7F6C-492D-8ED7-110DB2394E43}">
  <dimension ref="A1:J14"/>
  <sheetViews>
    <sheetView workbookViewId="0">
      <selection activeCell="B7" sqref="B7"/>
    </sheetView>
  </sheetViews>
  <sheetFormatPr defaultColWidth="8.7109375" defaultRowHeight="14.45"/>
  <cols>
    <col min="1" max="1" width="29.42578125" style="28" customWidth="1"/>
    <col min="2" max="2" width="43.85546875" style="28" customWidth="1"/>
    <col min="3" max="3" width="59.42578125" style="28" customWidth="1"/>
    <col min="4" max="16384" width="8.7109375" style="28"/>
  </cols>
  <sheetData>
    <row r="1" spans="1:10" ht="39" customHeight="1">
      <c r="A1" s="155" t="s">
        <v>177</v>
      </c>
      <c r="B1" s="156"/>
      <c r="C1" s="156"/>
      <c r="D1" s="46"/>
      <c r="E1" s="46"/>
      <c r="F1" s="46"/>
      <c r="G1" s="46"/>
      <c r="H1" s="46"/>
      <c r="I1" s="46"/>
      <c r="J1" s="46"/>
    </row>
    <row r="2" spans="1:10" ht="29.45" customHeight="1"/>
    <row r="3" spans="1:10" s="31" customFormat="1" ht="29.45" customHeight="1">
      <c r="A3" s="29" t="s">
        <v>178</v>
      </c>
      <c r="B3" s="29" t="s">
        <v>131</v>
      </c>
      <c r="C3" s="30" t="s">
        <v>179</v>
      </c>
    </row>
    <row r="4" spans="1:10" s="35" customFormat="1" ht="43.5">
      <c r="A4" s="39" t="s">
        <v>180</v>
      </c>
      <c r="B4" s="38" t="s">
        <v>181</v>
      </c>
      <c r="C4" s="38"/>
    </row>
    <row r="5" spans="1:10" s="35" customFormat="1" ht="72.599999999999994">
      <c r="A5" s="39" t="s">
        <v>182</v>
      </c>
      <c r="B5" s="38" t="s">
        <v>183</v>
      </c>
      <c r="C5" s="38"/>
    </row>
    <row r="6" spans="1:10" s="35" customFormat="1" ht="57.95">
      <c r="A6" s="39" t="s">
        <v>184</v>
      </c>
      <c r="B6" s="38" t="s">
        <v>185</v>
      </c>
      <c r="C6" s="38"/>
    </row>
    <row r="7" spans="1:10" s="35" customFormat="1" ht="101.45">
      <c r="A7" s="39" t="s">
        <v>186</v>
      </c>
      <c r="B7" s="38" t="s">
        <v>187</v>
      </c>
      <c r="C7" s="38"/>
    </row>
    <row r="8" spans="1:10" s="35" customFormat="1" ht="116.1">
      <c r="A8" s="39" t="s">
        <v>188</v>
      </c>
      <c r="B8" s="38" t="s">
        <v>189</v>
      </c>
      <c r="C8" s="38"/>
    </row>
    <row r="9" spans="1:10" s="35" customFormat="1" ht="101.45">
      <c r="A9" s="39" t="s">
        <v>190</v>
      </c>
      <c r="B9" s="38" t="s">
        <v>191</v>
      </c>
      <c r="C9" s="38"/>
    </row>
    <row r="10" spans="1:10" s="35" customFormat="1">
      <c r="A10" s="31"/>
    </row>
    <row r="11" spans="1:10" s="35" customFormat="1">
      <c r="A11" s="31"/>
      <c r="B11" s="28"/>
      <c r="C11" s="28"/>
    </row>
    <row r="12" spans="1:10" s="35" customFormat="1">
      <c r="A12" s="31"/>
      <c r="B12" s="28"/>
      <c r="C12" s="28"/>
    </row>
    <row r="13" spans="1:10" s="35" customFormat="1">
      <c r="A13" s="31"/>
      <c r="B13" s="28"/>
      <c r="C13" s="28"/>
    </row>
    <row r="14" spans="1:10" s="35" customFormat="1">
      <c r="A14" s="31"/>
      <c r="B14" s="28"/>
      <c r="C14" s="28"/>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E92B-2F45-4F07-B979-11839FA8C575}">
  <dimension ref="A1:E49"/>
  <sheetViews>
    <sheetView showGridLines="0" zoomScale="130" zoomScaleNormal="130" workbookViewId="0">
      <pane ySplit="6" topLeftCell="A22" activePane="bottomLeft" state="frozen"/>
      <selection pane="bottomLeft" activeCell="A33" sqref="A33"/>
    </sheetView>
  </sheetViews>
  <sheetFormatPr defaultColWidth="8.5703125" defaultRowHeight="14.45"/>
  <cols>
    <col min="1" max="1" width="4" style="75" customWidth="1"/>
    <col min="2" max="2" width="16" style="75" customWidth="1"/>
    <col min="3" max="3" width="62" style="75" customWidth="1"/>
    <col min="4" max="4" width="14" style="75" customWidth="1"/>
    <col min="5" max="5" width="30" style="75" customWidth="1"/>
    <col min="6" max="16384" width="8.5703125" style="75"/>
  </cols>
  <sheetData>
    <row r="1" spans="1:5" ht="31.5" customHeight="1">
      <c r="A1" s="157" t="s">
        <v>192</v>
      </c>
      <c r="B1" s="157"/>
      <c r="C1" s="157"/>
      <c r="D1" s="157"/>
      <c r="E1" s="157"/>
    </row>
    <row r="2" spans="1:5">
      <c r="A2" s="171" t="s">
        <v>108</v>
      </c>
      <c r="B2" s="171"/>
      <c r="C2" s="172"/>
      <c r="D2" s="172"/>
      <c r="E2" s="172"/>
    </row>
    <row r="3" spans="1:5">
      <c r="A3" s="171" t="s">
        <v>193</v>
      </c>
      <c r="B3" s="171"/>
      <c r="C3" s="172"/>
      <c r="D3" s="172"/>
      <c r="E3" s="172"/>
    </row>
    <row r="4" spans="1:5">
      <c r="A4" s="171" t="s">
        <v>194</v>
      </c>
      <c r="B4" s="171"/>
      <c r="C4" s="172"/>
      <c r="D4" s="172"/>
      <c r="E4" s="172"/>
    </row>
    <row r="6" spans="1:5" ht="19.5" customHeight="1">
      <c r="A6" s="76" t="s">
        <v>195</v>
      </c>
      <c r="B6" s="76" t="s">
        <v>196</v>
      </c>
      <c r="C6" s="76" t="s">
        <v>197</v>
      </c>
      <c r="D6" s="76" t="s">
        <v>198</v>
      </c>
      <c r="E6" s="76" t="s">
        <v>199</v>
      </c>
    </row>
    <row r="7" spans="1:5" ht="30" customHeight="1">
      <c r="A7" s="77">
        <v>1</v>
      </c>
      <c r="B7" s="158" t="s">
        <v>200</v>
      </c>
      <c r="C7" s="78" t="s">
        <v>201</v>
      </c>
      <c r="D7" s="79" t="s">
        <v>5</v>
      </c>
      <c r="E7" s="80"/>
    </row>
    <row r="8" spans="1:5" ht="30" customHeight="1">
      <c r="A8" s="77">
        <v>2</v>
      </c>
      <c r="B8" s="158"/>
      <c r="C8" s="78" t="s">
        <v>202</v>
      </c>
      <c r="D8" s="79" t="s">
        <v>5</v>
      </c>
      <c r="E8" s="80"/>
    </row>
    <row r="9" spans="1:5" ht="30" customHeight="1">
      <c r="A9" s="77">
        <v>3</v>
      </c>
      <c r="B9" s="158"/>
      <c r="C9" s="78" t="s">
        <v>203</v>
      </c>
      <c r="D9" s="79" t="s">
        <v>5</v>
      </c>
      <c r="E9" s="80"/>
    </row>
    <row r="10" spans="1:5" ht="30" customHeight="1">
      <c r="A10" s="77">
        <v>4</v>
      </c>
      <c r="B10" s="158" t="s">
        <v>204</v>
      </c>
      <c r="C10" s="78" t="s">
        <v>205</v>
      </c>
      <c r="D10" s="79" t="s">
        <v>5</v>
      </c>
      <c r="E10" s="80"/>
    </row>
    <row r="11" spans="1:5" ht="30" customHeight="1">
      <c r="A11" s="77">
        <v>5</v>
      </c>
      <c r="B11" s="158"/>
      <c r="C11" s="78" t="s">
        <v>206</v>
      </c>
      <c r="D11" s="79" t="s">
        <v>5</v>
      </c>
      <c r="E11" s="80"/>
    </row>
    <row r="12" spans="1:5" ht="30" customHeight="1">
      <c r="A12" s="77">
        <v>6</v>
      </c>
      <c r="B12" s="158"/>
      <c r="C12" s="78" t="s">
        <v>207</v>
      </c>
      <c r="D12" s="79" t="s">
        <v>5</v>
      </c>
      <c r="E12" s="80"/>
    </row>
    <row r="13" spans="1:5" ht="30" customHeight="1">
      <c r="A13" s="77">
        <v>7</v>
      </c>
      <c r="B13" s="158" t="s">
        <v>208</v>
      </c>
      <c r="C13" s="78" t="s">
        <v>209</v>
      </c>
      <c r="D13" s="79" t="s">
        <v>5</v>
      </c>
      <c r="E13" s="80"/>
    </row>
    <row r="14" spans="1:5" ht="30" customHeight="1">
      <c r="A14" s="77">
        <v>8</v>
      </c>
      <c r="B14" s="158"/>
      <c r="C14" s="78" t="s">
        <v>210</v>
      </c>
      <c r="D14" s="79" t="s">
        <v>5</v>
      </c>
      <c r="E14" s="80"/>
    </row>
    <row r="15" spans="1:5" ht="30" customHeight="1">
      <c r="A15" s="77">
        <v>9</v>
      </c>
      <c r="B15" s="158"/>
      <c r="C15" s="78" t="s">
        <v>211</v>
      </c>
      <c r="D15" s="79" t="s">
        <v>5</v>
      </c>
      <c r="E15" s="80"/>
    </row>
    <row r="16" spans="1:5" ht="30" customHeight="1">
      <c r="A16" s="77">
        <v>10</v>
      </c>
      <c r="B16" s="158" t="s">
        <v>212</v>
      </c>
      <c r="C16" s="78" t="s">
        <v>213</v>
      </c>
      <c r="D16" s="79" t="s">
        <v>5</v>
      </c>
      <c r="E16" s="80"/>
    </row>
    <row r="17" spans="1:5" ht="30" customHeight="1">
      <c r="A17" s="77">
        <v>11</v>
      </c>
      <c r="B17" s="158"/>
      <c r="C17" s="78" t="s">
        <v>214</v>
      </c>
      <c r="D17" s="79" t="s">
        <v>5</v>
      </c>
      <c r="E17" s="80"/>
    </row>
    <row r="18" spans="1:5" ht="30" customHeight="1">
      <c r="A18" s="77">
        <v>12</v>
      </c>
      <c r="B18" s="158"/>
      <c r="C18" s="78" t="s">
        <v>215</v>
      </c>
      <c r="D18" s="79" t="s">
        <v>5</v>
      </c>
      <c r="E18" s="80"/>
    </row>
    <row r="19" spans="1:5" ht="30" customHeight="1">
      <c r="A19" s="77">
        <v>13</v>
      </c>
      <c r="B19" s="158" t="s">
        <v>216</v>
      </c>
      <c r="C19" s="78" t="s">
        <v>217</v>
      </c>
      <c r="D19" s="79" t="s">
        <v>5</v>
      </c>
      <c r="E19" s="80"/>
    </row>
    <row r="20" spans="1:5" ht="30" customHeight="1">
      <c r="A20" s="77">
        <v>14</v>
      </c>
      <c r="B20" s="158"/>
      <c r="C20" s="78" t="s">
        <v>218</v>
      </c>
      <c r="D20" s="79" t="s">
        <v>5</v>
      </c>
      <c r="E20" s="80"/>
    </row>
    <row r="21" spans="1:5" ht="30" customHeight="1">
      <c r="A21" s="77">
        <v>15</v>
      </c>
      <c r="B21" s="158"/>
      <c r="C21" s="78" t="s">
        <v>219</v>
      </c>
      <c r="D21" s="79" t="s">
        <v>5</v>
      </c>
      <c r="E21" s="80"/>
    </row>
    <row r="22" spans="1:5" ht="30" customHeight="1">
      <c r="A22" s="77">
        <v>16</v>
      </c>
      <c r="B22" s="158" t="s">
        <v>220</v>
      </c>
      <c r="C22" s="78" t="s">
        <v>221</v>
      </c>
      <c r="D22" s="79" t="s">
        <v>5</v>
      </c>
      <c r="E22" s="80"/>
    </row>
    <row r="23" spans="1:5" ht="30" customHeight="1">
      <c r="A23" s="77">
        <v>17</v>
      </c>
      <c r="B23" s="158"/>
      <c r="C23" s="78" t="s">
        <v>222</v>
      </c>
      <c r="D23" s="79" t="s">
        <v>5</v>
      </c>
      <c r="E23" s="80"/>
    </row>
    <row r="24" spans="1:5" ht="30" customHeight="1">
      <c r="A24" s="77">
        <v>18</v>
      </c>
      <c r="B24" s="158"/>
      <c r="C24" s="78" t="s">
        <v>223</v>
      </c>
      <c r="D24" s="79" t="s">
        <v>5</v>
      </c>
      <c r="E24" s="80"/>
    </row>
    <row r="25" spans="1:5" ht="30" customHeight="1">
      <c r="A25" s="77">
        <v>19</v>
      </c>
      <c r="B25" s="158" t="s">
        <v>224</v>
      </c>
      <c r="C25" s="78" t="s">
        <v>225</v>
      </c>
      <c r="D25" s="79" t="s">
        <v>5</v>
      </c>
      <c r="E25" s="80"/>
    </row>
    <row r="26" spans="1:5" ht="30" customHeight="1">
      <c r="A26" s="77">
        <v>20</v>
      </c>
      <c r="B26" s="158"/>
      <c r="C26" s="78" t="s">
        <v>226</v>
      </c>
      <c r="D26" s="79" t="s">
        <v>5</v>
      </c>
      <c r="E26" s="80"/>
    </row>
    <row r="27" spans="1:5" ht="30" customHeight="1">
      <c r="A27" s="77">
        <v>21</v>
      </c>
      <c r="B27" s="158"/>
      <c r="C27" s="78" t="s">
        <v>227</v>
      </c>
      <c r="D27" s="79" t="s">
        <v>5</v>
      </c>
      <c r="E27" s="80"/>
    </row>
    <row r="28" spans="1:5" ht="30" customHeight="1">
      <c r="A28" s="77">
        <v>22</v>
      </c>
      <c r="B28" s="158" t="s">
        <v>228</v>
      </c>
      <c r="C28" s="78" t="s">
        <v>229</v>
      </c>
      <c r="D28" s="79" t="s">
        <v>5</v>
      </c>
      <c r="E28" s="80"/>
    </row>
    <row r="29" spans="1:5" ht="30" customHeight="1">
      <c r="A29" s="77">
        <v>23</v>
      </c>
      <c r="B29" s="158"/>
      <c r="C29" s="78" t="s">
        <v>230</v>
      </c>
      <c r="D29" s="79" t="s">
        <v>5</v>
      </c>
      <c r="E29" s="80"/>
    </row>
    <row r="30" spans="1:5" ht="30" customHeight="1">
      <c r="A30" s="77">
        <v>24</v>
      </c>
      <c r="B30" s="158"/>
      <c r="C30" s="78" t="s">
        <v>231</v>
      </c>
      <c r="D30" s="79" t="s">
        <v>5</v>
      </c>
      <c r="E30" s="80"/>
    </row>
    <row r="31" spans="1:5" ht="30" customHeight="1">
      <c r="A31" s="77">
        <v>25</v>
      </c>
      <c r="B31" s="158" t="s">
        <v>232</v>
      </c>
      <c r="C31" s="78" t="s">
        <v>233</v>
      </c>
      <c r="D31" s="79" t="s">
        <v>5</v>
      </c>
      <c r="E31" s="80"/>
    </row>
    <row r="32" spans="1:5" ht="30" customHeight="1">
      <c r="A32" s="77">
        <v>26</v>
      </c>
      <c r="B32" s="158"/>
      <c r="C32" s="78" t="s">
        <v>234</v>
      </c>
      <c r="D32" s="79" t="s">
        <v>5</v>
      </c>
      <c r="E32" s="80"/>
    </row>
    <row r="33" spans="1:5" ht="30" customHeight="1">
      <c r="A33" s="77">
        <v>27</v>
      </c>
      <c r="B33" s="158"/>
      <c r="C33" s="78" t="s">
        <v>235</v>
      </c>
      <c r="D33" s="79" t="s">
        <v>5</v>
      </c>
      <c r="E33" s="80"/>
    </row>
    <row r="35" spans="1:5" ht="25.5" customHeight="1">
      <c r="A35" s="159" t="s">
        <v>236</v>
      </c>
      <c r="B35" s="159"/>
      <c r="C35" s="159"/>
      <c r="D35" s="159"/>
      <c r="E35" s="159"/>
    </row>
    <row r="36" spans="1:5">
      <c r="A36" s="171" t="s">
        <v>237</v>
      </c>
      <c r="B36" s="171"/>
      <c r="C36" s="171"/>
      <c r="D36" s="81">
        <v>27</v>
      </c>
    </row>
    <row r="37" spans="1:5">
      <c r="A37" s="171" t="s">
        <v>238</v>
      </c>
      <c r="B37" s="171"/>
      <c r="C37" s="171"/>
      <c r="D37" s="81">
        <f>COUNTIF(D7:D33,"Yes")</f>
        <v>27</v>
      </c>
    </row>
    <row r="38" spans="1:5">
      <c r="A38" s="171" t="s">
        <v>239</v>
      </c>
      <c r="B38" s="171"/>
      <c r="C38" s="171"/>
      <c r="D38" s="81">
        <f>COUNTIF(D7:D33,"No")</f>
        <v>0</v>
      </c>
    </row>
    <row r="39" spans="1:5">
      <c r="A39" s="171" t="s">
        <v>240</v>
      </c>
      <c r="B39" s="171"/>
      <c r="C39" s="171"/>
      <c r="D39" s="81">
        <f>COUNTA(D7:D33)</f>
        <v>27</v>
      </c>
    </row>
    <row r="40" spans="1:5">
      <c r="A40" s="171" t="s">
        <v>241</v>
      </c>
      <c r="B40" s="171"/>
      <c r="C40" s="171"/>
      <c r="D40" s="82">
        <f>IFERROR(D37/D36,0)</f>
        <v>1</v>
      </c>
    </row>
    <row r="42" spans="1:5" ht="25.5" customHeight="1">
      <c r="A42" s="159" t="s">
        <v>242</v>
      </c>
      <c r="B42" s="159"/>
      <c r="C42" s="159"/>
      <c r="D42" s="159"/>
      <c r="E42" s="159"/>
    </row>
    <row r="43" spans="1:5" ht="21.75" customHeight="1">
      <c r="A43" s="173" t="s">
        <v>243</v>
      </c>
      <c r="B43" s="173"/>
      <c r="C43" s="173"/>
      <c r="D43" s="160" t="str">
        <f>IF(D39&lt;D36,"Incomplete – answer all questions",IF(D40&gt;=0.8,"STRONG BID",IF(D40&gt;=0.6,"CONDITIONAL BID",IF(D40&gt;=0.4,"CAUTION – REVIEW","NO BID"))))</f>
        <v>STRONG BID</v>
      </c>
      <c r="E43" s="160"/>
    </row>
    <row r="45" spans="1:5">
      <c r="A45" s="174" t="s">
        <v>244</v>
      </c>
      <c r="B45" s="174"/>
      <c r="C45" s="174"/>
      <c r="D45" s="174"/>
      <c r="E45" s="174"/>
    </row>
    <row r="46" spans="1:5">
      <c r="A46" s="175" t="s">
        <v>245</v>
      </c>
      <c r="B46" s="175"/>
      <c r="C46" s="175"/>
      <c r="D46" s="175"/>
      <c r="E46" s="175"/>
    </row>
    <row r="47" spans="1:5">
      <c r="A47" s="175" t="s">
        <v>246</v>
      </c>
      <c r="B47" s="175"/>
      <c r="C47" s="175"/>
      <c r="D47" s="175"/>
      <c r="E47" s="175"/>
    </row>
    <row r="48" spans="1:5">
      <c r="A48" s="175" t="s">
        <v>247</v>
      </c>
      <c r="B48" s="175"/>
      <c r="C48" s="175"/>
      <c r="D48" s="175"/>
      <c r="E48" s="175"/>
    </row>
    <row r="49" spans="1:5">
      <c r="A49" s="175" t="s">
        <v>248</v>
      </c>
      <c r="B49" s="175"/>
      <c r="C49" s="175"/>
      <c r="D49" s="175"/>
      <c r="E49" s="175"/>
    </row>
  </sheetData>
  <mergeCells count="30">
    <mergeCell ref="A45:E45"/>
    <mergeCell ref="A46:E46"/>
    <mergeCell ref="A47:E47"/>
    <mergeCell ref="A48:E48"/>
    <mergeCell ref="A49:E49"/>
    <mergeCell ref="A38:C38"/>
    <mergeCell ref="A39:C39"/>
    <mergeCell ref="A40:C40"/>
    <mergeCell ref="A42:E42"/>
    <mergeCell ref="A43:C43"/>
    <mergeCell ref="D43:E43"/>
    <mergeCell ref="A37:C37"/>
    <mergeCell ref="B7:B9"/>
    <mergeCell ref="B10:B12"/>
    <mergeCell ref="B13:B15"/>
    <mergeCell ref="B16:B18"/>
    <mergeCell ref="B19:B21"/>
    <mergeCell ref="B22:B24"/>
    <mergeCell ref="B25:B27"/>
    <mergeCell ref="B28:B30"/>
    <mergeCell ref="B31:B33"/>
    <mergeCell ref="A35:E35"/>
    <mergeCell ref="A36:C36"/>
    <mergeCell ref="A4:B4"/>
    <mergeCell ref="C4:E4"/>
    <mergeCell ref="A1:E1"/>
    <mergeCell ref="A2:B2"/>
    <mergeCell ref="C2:E2"/>
    <mergeCell ref="A3:B3"/>
    <mergeCell ref="C3:E3"/>
  </mergeCells>
  <conditionalFormatting sqref="D7:D33">
    <cfRule type="cellIs" dxfId="5" priority="1" operator="equal">
      <formula>"Yes"</formula>
    </cfRule>
    <cfRule type="cellIs" dxfId="4" priority="2" operator="equal">
      <formula>"No"</formula>
    </cfRule>
  </conditionalFormatting>
  <conditionalFormatting sqref="D43">
    <cfRule type="expression" dxfId="3" priority="3">
      <formula>D43="STRONG BID"</formula>
    </cfRule>
    <cfRule type="expression" dxfId="2" priority="4">
      <formula>D43="CONDITIONAL BID"</formula>
    </cfRule>
    <cfRule type="expression" dxfId="1" priority="5">
      <formula>D43="CAUTION – REVIEW"</formula>
    </cfRule>
    <cfRule type="expression" dxfId="0" priority="6">
      <formula>D43="NO BID"</formula>
    </cfRule>
  </conditionalFormatting>
  <dataValidations count="1">
    <dataValidation type="list" allowBlank="1" sqref="D7:D33" xr:uid="{E1C87F82-EE51-4BB1-AC15-F9EFAD004CE8}">
      <formula1>"Yes,No"</formula1>
      <formula2>0</formula2>
    </dataValidation>
  </dataValidation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D723468066D14989CF2C19089E0FCA" ma:contentTypeVersion="17" ma:contentTypeDescription="Create a new document." ma:contentTypeScope="" ma:versionID="c73cf79cfde9eba352c108b620442178">
  <xsd:schema xmlns:xsd="http://www.w3.org/2001/XMLSchema" xmlns:xs="http://www.w3.org/2001/XMLSchema" xmlns:p="http://schemas.microsoft.com/office/2006/metadata/properties" xmlns:ns2="83b85b08-c1d2-460f-b3e3-de16a32cf368" targetNamespace="http://schemas.microsoft.com/office/2006/metadata/properties" ma:root="true" ma:fieldsID="3088cd57e24a571e5b9abe58ce346342" ns2:_="">
    <xsd:import namespace="83b85b08-c1d2-460f-b3e3-de16a32cf3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b85b08-c1d2-460f-b3e3-de16a32cf368"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SearchProperties" ma:index="7" nillable="true" ma:displayName="MediaServiceSearchProperties" ma:hidden="true" ma:internalName="MediaServiceSearchProperties" ma:readOnly="true">
      <xsd:simpleType>
        <xsd:restriction base="dms:Note"/>
      </xsd:simpleType>
    </xsd:element>
    <xsd:element name="MediaServiceObjectDetectorVersions" ma:index="8"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1E1D90-4982-4CAB-B3FC-D0C5C1217CD4}"/>
</file>

<file path=customXml/itemProps2.xml><?xml version="1.0" encoding="utf-8"?>
<ds:datastoreItem xmlns:ds="http://schemas.openxmlformats.org/officeDocument/2006/customXml" ds:itemID="{FF069B3C-D9CB-471B-BBCF-99D584BF15C8}"/>
</file>

<file path=customXml/itemProps3.xml><?xml version="1.0" encoding="utf-8"?>
<ds:datastoreItem xmlns:ds="http://schemas.openxmlformats.org/officeDocument/2006/customXml" ds:itemID="{B30DC2EC-FA1E-4DFA-83B4-D0F3143A3681}"/>
</file>

<file path=docMetadata/LabelInfo.xml><?xml version="1.0" encoding="utf-8"?>
<clbl:labelList xmlns:clbl="http://schemas.microsoft.com/office/2020/mipLabelMetadata">
  <clbl:label id="{4bac7c5e-89c0-4b60-a121-3160473e484a}" enabled="1" method="Privileged" siteId="{fcbce1cd-2ec5-4340-9e8b-7e3a7bbf755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Alana Cranney</dc:creator>
  <cp:keywords/>
  <dc:description/>
  <cp:lastModifiedBy/>
  <cp:revision/>
  <dcterms:created xsi:type="dcterms:W3CDTF">2026-06-22T04:09:53Z</dcterms:created>
  <dcterms:modified xsi:type="dcterms:W3CDTF">2026-07-14T00:13:33Z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0x0101004FD723468066D14989CF2C19089E0FCA</vt:lpwstr>
  </property>
</Properties>
</file>